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uario\OneDrive\cosas innecesarias\Escritorio\Tasas-master\"/>
    </mc:Choice>
  </mc:AlternateContent>
  <xr:revisionPtr revIDLastSave="0" documentId="13_ncr:1_{4D90350D-9AC2-42DC-947F-E3B39C27F020}" xr6:coauthVersionLast="47" xr6:coauthVersionMax="47" xr10:uidLastSave="{00000000-0000-0000-0000-000000000000}"/>
  <bookViews>
    <workbookView xWindow="-120" yWindow="-120" windowWidth="29040" windowHeight="16440" tabRatio="497" activeTab="2" xr2:uid="{00000000-000D-0000-FFFF-FFFF00000000}"/>
  </bookViews>
  <sheets>
    <sheet name="BANCOS" sheetId="5" r:id="rId1"/>
    <sheet name="Exch Rates" sheetId="1" state="hidden" r:id="rId2"/>
    <sheet name="ExchRate" sheetId="4" r:id="rId3"/>
    <sheet name="Wiki" sheetId="9" r:id="rId4"/>
    <sheet name="Datos" sheetId="8" r:id="rId5"/>
    <sheet name="ACON" sheetId="7" state="hidden" r:id="rId6"/>
    <sheet name="SALOG" sheetId="6" state="hidden" r:id="rId7"/>
  </sheets>
  <externalReferences>
    <externalReference r:id="rId8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32" i="4" l="1"/>
  <c r="P35" i="4"/>
  <c r="Z17" i="4" l="1"/>
  <c r="Z26" i="4" l="1"/>
  <c r="Z25" i="4"/>
  <c r="Z24" i="4"/>
  <c r="Z23" i="4"/>
  <c r="Z22" i="4"/>
  <c r="Z21" i="4"/>
  <c r="Z20" i="4"/>
  <c r="Z19" i="4"/>
  <c r="Z18" i="4"/>
  <c r="AO19" i="4" s="1"/>
  <c r="D51" i="4" l="1"/>
  <c r="AO18" i="4" l="1"/>
  <c r="G45" i="9" s="1"/>
  <c r="P41" i="4"/>
  <c r="P43" i="4"/>
  <c r="P42" i="4"/>
  <c r="P40" i="4"/>
  <c r="P39" i="4"/>
  <c r="P38" i="4"/>
  <c r="P37" i="4"/>
  <c r="P36" i="4"/>
  <c r="P18" i="4"/>
  <c r="P17" i="4"/>
  <c r="P11" i="4"/>
  <c r="J15" i="9" s="1"/>
  <c r="P8" i="4"/>
  <c r="G15" i="9" s="1"/>
  <c r="D16" i="4"/>
  <c r="C16" i="4"/>
  <c r="C18" i="4"/>
  <c r="P22" i="4" s="1"/>
  <c r="C17" i="4"/>
  <c r="P21" i="4" l="1"/>
  <c r="AO15" i="4" s="1"/>
  <c r="D45" i="9" s="1"/>
  <c r="E37" i="9"/>
  <c r="B37" i="9"/>
  <c r="P16" i="4"/>
  <c r="F22" i="9"/>
  <c r="C41" i="9"/>
  <c r="AO16" i="4"/>
  <c r="E45" i="9" s="1"/>
  <c r="P23" i="4"/>
  <c r="AO12" i="4"/>
  <c r="A45" i="9" s="1"/>
  <c r="C15" i="4"/>
  <c r="E22" i="9" s="1"/>
  <c r="C8" i="4"/>
  <c r="AO10" i="4" s="1"/>
  <c r="C11" i="4"/>
  <c r="AO11" i="4" s="1"/>
  <c r="A61" i="9" s="1"/>
  <c r="C7" i="4"/>
  <c r="C6" i="4"/>
  <c r="C5" i="4"/>
  <c r="E15" i="9" l="1"/>
  <c r="AO7" i="4"/>
  <c r="AO9" i="4"/>
  <c r="H15" i="9"/>
  <c r="D41" i="9"/>
  <c r="AO17" i="4"/>
  <c r="F45" i="9" s="1"/>
  <c r="I69" i="9"/>
  <c r="J69" i="9"/>
  <c r="E69" i="9"/>
  <c r="C69" i="9"/>
  <c r="H69" i="9"/>
  <c r="F69" i="9"/>
  <c r="B69" i="9"/>
  <c r="D69" i="9"/>
  <c r="G69" i="9"/>
  <c r="D28" i="9"/>
  <c r="F25" i="9"/>
  <c r="K69" i="9"/>
  <c r="V41" i="9" l="1"/>
  <c r="U41" i="9"/>
  <c r="T41" i="9"/>
  <c r="Q41" i="9"/>
  <c r="P41" i="9"/>
  <c r="R41" i="9"/>
  <c r="S41" i="9" l="1"/>
  <c r="F37" i="9" s="1"/>
  <c r="I25" i="9"/>
  <c r="H25" i="9"/>
  <c r="D8" i="9"/>
  <c r="A53" i="9"/>
  <c r="C37" i="9" l="1"/>
  <c r="B41" i="9"/>
  <c r="P13" i="4"/>
  <c r="P15" i="4" s="1"/>
  <c r="P14" i="4"/>
  <c r="D22" i="9"/>
  <c r="P7" i="4"/>
  <c r="P9" i="4"/>
  <c r="P12" i="4"/>
  <c r="P10" i="4"/>
  <c r="P20" i="4"/>
  <c r="B57" i="9" s="1"/>
  <c r="P19" i="4"/>
  <c r="A57" i="9" s="1"/>
  <c r="P31" i="4"/>
  <c r="L41" i="9" s="1"/>
  <c r="P27" i="4"/>
  <c r="AO13" i="4" s="1"/>
  <c r="B45" i="9" s="1"/>
  <c r="P34" i="4"/>
  <c r="O41" i="9" s="1"/>
  <c r="P30" i="4"/>
  <c r="K41" i="9" s="1"/>
  <c r="P26" i="4"/>
  <c r="G41" i="9" s="1"/>
  <c r="P33" i="4"/>
  <c r="N41" i="9" s="1"/>
  <c r="P29" i="4"/>
  <c r="AO14" i="4" s="1"/>
  <c r="C45" i="9" s="1"/>
  <c r="P25" i="4"/>
  <c r="M41" i="9"/>
  <c r="P28" i="4"/>
  <c r="I41" i="9" s="1"/>
  <c r="P24" i="4"/>
  <c r="E41" i="9" s="1"/>
  <c r="AO6" i="4" l="1"/>
  <c r="F15" i="9"/>
  <c r="AO8" i="4"/>
  <c r="I15" i="9"/>
  <c r="C10" i="4"/>
  <c r="C9" i="4"/>
  <c r="J41" i="9"/>
  <c r="H41" i="9"/>
  <c r="G25" i="9"/>
  <c r="F41" i="9"/>
  <c r="D25" i="9"/>
  <c r="P5" i="4"/>
  <c r="P6" i="4"/>
  <c r="D18" i="4"/>
  <c r="D17" i="4"/>
  <c r="D15" i="4"/>
  <c r="A37" i="9" l="1"/>
  <c r="D37" i="9"/>
  <c r="AO5" i="4"/>
  <c r="D6" i="9"/>
  <c r="E25" i="9"/>
  <c r="AF26" i="4"/>
  <c r="AF12" i="4" l="1"/>
  <c r="AF11" i="4"/>
  <c r="AG12" i="4"/>
  <c r="AG11" i="4"/>
  <c r="AF21" i="4" l="1"/>
  <c r="AF20" i="4"/>
  <c r="Q11" i="7" l="1"/>
  <c r="Q10" i="7"/>
  <c r="Q9" i="7"/>
  <c r="Q8" i="7"/>
  <c r="E13" i="7" l="1"/>
  <c r="C13" i="7"/>
  <c r="E12" i="7"/>
  <c r="C12" i="7"/>
  <c r="O11" i="7"/>
  <c r="E11" i="7"/>
  <c r="C11" i="7"/>
  <c r="O10" i="7"/>
  <c r="C10" i="7"/>
  <c r="O9" i="7"/>
  <c r="C9" i="7"/>
  <c r="O8" i="7"/>
  <c r="C8" i="7"/>
  <c r="O7" i="7"/>
  <c r="C7" i="7"/>
  <c r="O6" i="7"/>
  <c r="C6" i="7"/>
  <c r="O5" i="7"/>
  <c r="C5" i="7"/>
  <c r="O4" i="7"/>
  <c r="C4" i="7"/>
  <c r="O3" i="7"/>
  <c r="C3" i="7"/>
  <c r="O2" i="7"/>
  <c r="C2" i="7"/>
  <c r="AY34" i="6"/>
  <c r="AD3" i="4" l="1"/>
  <c r="E97" i="1"/>
  <c r="E93" i="1"/>
  <c r="E42" i="1"/>
  <c r="E44" i="1" s="1"/>
  <c r="D10" i="1" s="1"/>
  <c r="D13" i="1"/>
  <c r="E48" i="1" l="1"/>
  <c r="E95" i="1" s="1"/>
  <c r="E49" i="1"/>
  <c r="E52" i="1"/>
  <c r="E47" i="1"/>
  <c r="E45" i="1"/>
  <c r="E96" i="1"/>
  <c r="E46" i="1"/>
  <c r="E94" i="1" s="1"/>
  <c r="E50" i="1"/>
  <c r="E51" i="1"/>
  <c r="E43" i="1"/>
  <c r="A133" i="1" l="1"/>
  <c r="A129" i="1"/>
  <c r="A125" i="1"/>
  <c r="E92" i="1"/>
  <c r="E37" i="1"/>
  <c r="E39" i="1" s="1"/>
  <c r="H119" i="1"/>
  <c r="F119" i="1"/>
  <c r="E119" i="1"/>
  <c r="C119" i="1"/>
  <c r="E91" i="1"/>
  <c r="E89" i="1"/>
  <c r="E36" i="1"/>
  <c r="E34" i="1"/>
  <c r="E90" i="1" s="1"/>
  <c r="E33" i="1"/>
  <c r="A119" i="1"/>
  <c r="B114" i="1"/>
  <c r="B110" i="1"/>
  <c r="A114" i="1"/>
  <c r="A110" i="1"/>
  <c r="E87" i="1"/>
  <c r="E31" i="1"/>
  <c r="E88" i="1" s="1"/>
  <c r="E30" i="1"/>
  <c r="E29" i="1"/>
  <c r="D119" i="1" l="1"/>
  <c r="G119" i="1"/>
  <c r="E38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Hernandez, Nadia / Kuehne + Nagel / BUE ZF-TA</author>
  </authors>
  <commentList>
    <comment ref="C77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15.30 ARG</t>
        </r>
      </text>
    </comment>
    <comment ref="D77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15.30 ARG</t>
        </r>
      </text>
    </comment>
    <comment ref="H77" authorId="0" shapeId="0" xr:uid="{00000000-0006-0000-0300-000003000000}">
      <text>
        <r>
          <rPr>
            <b/>
            <sz val="9"/>
            <color indexed="81"/>
            <rFont val="Tahoma"/>
            <family val="2"/>
          </rPr>
          <t>15.30 ARG</t>
        </r>
      </text>
    </comment>
  </commentList>
</comments>
</file>

<file path=xl/sharedStrings.xml><?xml version="1.0" encoding="utf-8"?>
<sst xmlns="http://schemas.openxmlformats.org/spreadsheetml/2006/main" count="2529" uniqueCount="358">
  <si>
    <t>Country</t>
  </si>
  <si>
    <t xml:space="preserve">Website </t>
  </si>
  <si>
    <t>Rate</t>
  </si>
  <si>
    <t>Schedule</t>
  </si>
  <si>
    <t>Chile</t>
  </si>
  <si>
    <t xml:space="preserve">http://www.bcentral.cl/ </t>
  </si>
  <si>
    <t>USD Observado</t>
  </si>
  <si>
    <t>Euro Observado</t>
  </si>
  <si>
    <t>Every Day</t>
  </si>
  <si>
    <t xml:space="preserve">https://www.oanda.com/lang/es/currency/converter/ </t>
  </si>
  <si>
    <t>USD to CLP AVG</t>
  </si>
  <si>
    <t>EUR to CLP AVG</t>
  </si>
  <si>
    <t>Honduras</t>
  </si>
  <si>
    <t>http://www.ficohsa.com/hn/honduras/tipo-cambio/.</t>
  </si>
  <si>
    <t>USD Venta</t>
  </si>
  <si>
    <t>Monday</t>
  </si>
  <si>
    <t>https://www.oanda.com/currency/converter/.</t>
  </si>
  <si>
    <t>CNY to HNL</t>
  </si>
  <si>
    <t>JPY to HNL</t>
  </si>
  <si>
    <t>BRL to HNL</t>
  </si>
  <si>
    <t>MXN to HNL</t>
  </si>
  <si>
    <t>EUR to HNL</t>
  </si>
  <si>
    <t>GBP to HNL</t>
  </si>
  <si>
    <t xml:space="preserve"> ver.. </t>
  </si>
  <si>
    <t>Trinidad y Tobago</t>
  </si>
  <si>
    <t xml:space="preserve">http://www.central-bank.org.tt/ </t>
  </si>
  <si>
    <t>USD Selling</t>
  </si>
  <si>
    <t>First business day of month</t>
  </si>
  <si>
    <t>Uruguay</t>
  </si>
  <si>
    <t>http://www.bcu.gub.uy/Paginas/Default.aspx</t>
  </si>
  <si>
    <t>US $ Billete</t>
  </si>
  <si>
    <t>EUR</t>
  </si>
  <si>
    <t>Monday to Friday</t>
  </si>
  <si>
    <t>Colombia</t>
  </si>
  <si>
    <t>http://www.banrep.gov.co/es/trm</t>
  </si>
  <si>
    <t>TRM</t>
  </si>
  <si>
    <t>http://www.banrep.gov.co/</t>
  </si>
  <si>
    <t>https://www1.oanda.com/lang/es/</t>
  </si>
  <si>
    <t>EUR to COP</t>
  </si>
  <si>
    <t>EUR to USD</t>
  </si>
  <si>
    <t>CNY to USD</t>
  </si>
  <si>
    <t>JPY to USD</t>
  </si>
  <si>
    <t>Guatemala</t>
  </si>
  <si>
    <t>http://www.banguat.gob.gt/cambio/</t>
  </si>
  <si>
    <t>Last Month Average</t>
  </si>
  <si>
    <t xml:space="preserve">MENSUAL </t>
  </si>
  <si>
    <t>Friday</t>
  </si>
  <si>
    <t xml:space="preserve">https://www.bancopromerica.com.gt/ </t>
  </si>
  <si>
    <t>VIERNES</t>
  </si>
  <si>
    <t>Argentina</t>
  </si>
  <si>
    <t xml:space="preserve">http://www.bna.com.ar </t>
  </si>
  <si>
    <t>Cotización Billetes Venta USD</t>
  </si>
  <si>
    <t>Cotización Billetes Compra USD</t>
  </si>
  <si>
    <t xml:space="preserve">Cotización Billetes Compra EUR </t>
  </si>
  <si>
    <t>Cotización Divisas Venta USD</t>
  </si>
  <si>
    <t>Peru</t>
  </si>
  <si>
    <t>Dólar de N.A Venta</t>
  </si>
  <si>
    <t>Euro Venta</t>
  </si>
  <si>
    <t>Bolivia</t>
  </si>
  <si>
    <t xml:space="preserve">https://www.bcb.gob.bo/?q=cotizaciones_tc </t>
  </si>
  <si>
    <t>Nicaragua</t>
  </si>
  <si>
    <t>https://www1.sucursalelectronica.com/redir/showLogin.go</t>
  </si>
  <si>
    <t xml:space="preserve">Costa Rica </t>
  </si>
  <si>
    <t xml:space="preserve">https://gee.bccr.fi.cr/indicadoreseconomicos/Cuadros/frmVerCatCuadro.aspx?idioma=1&amp;CodCuadro=%20400 </t>
  </si>
  <si>
    <t>Ecuador</t>
  </si>
  <si>
    <t>https://www.bce.fin.ec/index.php/component/k2/item/260-consulta-por-monedas-extranjeras</t>
  </si>
  <si>
    <t>Exchange Rates SCA</t>
  </si>
  <si>
    <t>ACON</t>
  </si>
  <si>
    <t>Company</t>
  </si>
  <si>
    <t>Rate Type</t>
  </si>
  <si>
    <t>Currency</t>
  </si>
  <si>
    <t>Exch Rate</t>
  </si>
  <si>
    <t>UY77</t>
  </si>
  <si>
    <t>Book Rate</t>
  </si>
  <si>
    <t>USD</t>
  </si>
  <si>
    <t>Trae dato del banco</t>
  </si>
  <si>
    <t>CL70</t>
  </si>
  <si>
    <t>PE83</t>
  </si>
  <si>
    <t>Daily Rate</t>
  </si>
  <si>
    <t>CO75</t>
  </si>
  <si>
    <t>trm 21</t>
  </si>
  <si>
    <t>trae dato del banco</t>
  </si>
  <si>
    <t>CO76</t>
  </si>
  <si>
    <t>CR79</t>
  </si>
  <si>
    <t>AR71</t>
  </si>
  <si>
    <t>trae el dato de OANDA</t>
  </si>
  <si>
    <t>HN79</t>
  </si>
  <si>
    <t>TT93</t>
  </si>
  <si>
    <t>BO78</t>
  </si>
  <si>
    <t>NI79</t>
  </si>
  <si>
    <t>GT79</t>
  </si>
  <si>
    <t>SALOG</t>
  </si>
  <si>
    <t>Exch Rate Qualifer</t>
  </si>
  <si>
    <t>From</t>
  </si>
  <si>
    <t xml:space="preserve">to </t>
  </si>
  <si>
    <t>UYKN</t>
  </si>
  <si>
    <t>UYBCU</t>
  </si>
  <si>
    <t>UYU</t>
  </si>
  <si>
    <t>CLKN</t>
  </si>
  <si>
    <t>CLComm</t>
  </si>
  <si>
    <t>CLP</t>
  </si>
  <si>
    <t>OANDA</t>
  </si>
  <si>
    <t>Trae el dato de oanda promedio</t>
  </si>
  <si>
    <t>B.Central</t>
  </si>
  <si>
    <t>PEKN</t>
  </si>
  <si>
    <t>EPDO</t>
  </si>
  <si>
    <t>PEN</t>
  </si>
  <si>
    <t>Trae el dato del banco</t>
  </si>
  <si>
    <t>CNY</t>
  </si>
  <si>
    <t>COKN</t>
  </si>
  <si>
    <t>COP</t>
  </si>
  <si>
    <t>TRM13</t>
  </si>
  <si>
    <t>TRM21</t>
  </si>
  <si>
    <t>TRM30</t>
  </si>
  <si>
    <t>TRM35</t>
  </si>
  <si>
    <t>TRM40</t>
  </si>
  <si>
    <t>TRM45</t>
  </si>
  <si>
    <t>TRM50</t>
  </si>
  <si>
    <t>TRM55</t>
  </si>
  <si>
    <t>TRM60</t>
  </si>
  <si>
    <t>TRM70</t>
  </si>
  <si>
    <t>BRC</t>
  </si>
  <si>
    <t>JPY</t>
  </si>
  <si>
    <t>BRL</t>
  </si>
  <si>
    <t>CRKN</t>
  </si>
  <si>
    <t>BCR</t>
  </si>
  <si>
    <t>CRC</t>
  </si>
  <si>
    <t>BCCR</t>
  </si>
  <si>
    <t>ECKN</t>
  </si>
  <si>
    <t>07</t>
  </si>
  <si>
    <t>ARKN</t>
  </si>
  <si>
    <t>BNA DIVISA</t>
  </si>
  <si>
    <t>ARS</t>
  </si>
  <si>
    <t>BCRA</t>
  </si>
  <si>
    <t>KNEXR</t>
  </si>
  <si>
    <t>BNA DIVISA COMPRADOR</t>
  </si>
  <si>
    <t>CARRIERS</t>
  </si>
  <si>
    <t>GTKN</t>
  </si>
  <si>
    <t>GTCITI</t>
  </si>
  <si>
    <t>GTQ</t>
  </si>
  <si>
    <t>HNKN</t>
  </si>
  <si>
    <t>Banco de Honduras SA</t>
  </si>
  <si>
    <t>HNL</t>
  </si>
  <si>
    <t>GBP</t>
  </si>
  <si>
    <t>MXN</t>
  </si>
  <si>
    <t>HKD</t>
  </si>
  <si>
    <t>CIEL</t>
  </si>
  <si>
    <t>Exch Rate Type</t>
  </si>
  <si>
    <t xml:space="preserve">From </t>
  </si>
  <si>
    <t>To</t>
  </si>
  <si>
    <t>Costa Rica</t>
  </si>
  <si>
    <t>WIKI</t>
  </si>
  <si>
    <t>Tipo de Cambio</t>
  </si>
  <si>
    <t>Tipo de Cambio Clearing </t>
  </si>
  <si>
    <t>TC Observado USD</t>
  </si>
  <si>
    <t>TC comercial USD</t>
  </si>
  <si>
    <t>TC Oanda USD</t>
  </si>
  <si>
    <t>TC Observado  EUR</t>
  </si>
  <si>
    <t>TC comercial EUR </t>
  </si>
  <si>
    <t>TC Oanda EUR</t>
  </si>
  <si>
    <t>N/A</t>
  </si>
  <si>
    <t>Acon Book Rate</t>
  </si>
  <si>
    <t> Acon Daily Rate</t>
  </si>
  <si>
    <t xml:space="preserve">SALOG </t>
  </si>
  <si>
    <t>USD - PEN</t>
  </si>
  <si>
    <t>EUR - USD</t>
  </si>
  <si>
    <t>EUR - PEN</t>
  </si>
  <si>
    <t>PEN - USD</t>
  </si>
  <si>
    <t>CNY - USD</t>
  </si>
  <si>
    <t>Fecha de hoy</t>
  </si>
  <si>
    <t>Fecha</t>
  </si>
  <si>
    <t>COMP</t>
  </si>
  <si>
    <t>BRANCH</t>
  </si>
  <si>
    <t>DEPT</t>
  </si>
  <si>
    <t>RATE</t>
  </si>
  <si>
    <t>QUALIFIER</t>
  </si>
  <si>
    <t>CCY FROM</t>
  </si>
  <si>
    <t>CCY TO</t>
  </si>
  <si>
    <t>VALUE</t>
  </si>
  <si>
    <t>EFF DATE</t>
  </si>
  <si>
    <t>EXP DATE</t>
  </si>
  <si>
    <t>STATUS</t>
  </si>
  <si>
    <t>AE</t>
  </si>
  <si>
    <t>02</t>
  </si>
  <si>
    <t>UYMVD</t>
  </si>
  <si>
    <t>25.10.22</t>
  </si>
  <si>
    <t>Martes a Jueves</t>
  </si>
  <si>
    <t>CRSJO</t>
  </si>
  <si>
    <t>26.10.22</t>
  </si>
  <si>
    <t>Lunes</t>
  </si>
  <si>
    <t>Viernes</t>
  </si>
  <si>
    <t>CLSCL</t>
  </si>
  <si>
    <t>COBOG</t>
  </si>
  <si>
    <t>PELIM</t>
  </si>
  <si>
    <t>ES</t>
  </si>
  <si>
    <t>HNSAP</t>
  </si>
  <si>
    <t>GTGUA</t>
  </si>
  <si>
    <t>P2:Y43</t>
  </si>
  <si>
    <t>AD2:AM44</t>
  </si>
  <si>
    <t>AR2:BA44</t>
  </si>
  <si>
    <t>Exchange Rate</t>
  </si>
  <si>
    <t>Qualifier</t>
  </si>
  <si>
    <t>Effective Date</t>
  </si>
  <si>
    <t>Expiry Date</t>
  </si>
  <si>
    <t>Effective Period</t>
  </si>
  <si>
    <t>Status</t>
  </si>
  <si>
    <t>Lunes a Viernes</t>
  </si>
  <si>
    <t>B</t>
  </si>
  <si>
    <t>10/2022</t>
  </si>
  <si>
    <t>D</t>
  </si>
  <si>
    <t>}</t>
  </si>
  <si>
    <t xml:space="preserve"> </t>
  </si>
  <si>
    <t>Euro</t>
  </si>
  <si>
    <t>MENSUALES</t>
  </si>
  <si>
    <t>39,161</t>
  </si>
  <si>
    <t xml:space="preserve">cierre del 23/11/2022 </t>
  </si>
  <si>
    <t>Paises Completados</t>
  </si>
  <si>
    <t/>
  </si>
  <si>
    <t>TRM75</t>
  </si>
  <si>
    <t>24 de Noviembre de 2022</t>
  </si>
  <si>
    <t>924,63</t>
  </si>
  <si>
    <t>958,27</t>
  </si>
  <si>
    <t>Tipo de Cambio al 23/11/2022</t>
  </si>
  <si>
    <t xml:space="preserve">611,59 </t>
  </si>
  <si>
    <t>24/11/2022</t>
  </si>
  <si>
    <t>163,7500</t>
  </si>
  <si>
    <t>168,0000</t>
  </si>
  <si>
    <t>10AM</t>
  </si>
  <si>
    <t>15.30PM</t>
  </si>
  <si>
    <t>Semanales</t>
  </si>
  <si>
    <t>CCY From</t>
  </si>
  <si>
    <t xml:space="preserve">CCY to </t>
  </si>
  <si>
    <t>Value</t>
  </si>
  <si>
    <t>IS</t>
  </si>
  <si>
    <t>ARBUE</t>
  </si>
  <si>
    <t>ECGYE</t>
  </si>
  <si>
    <t>Manual</t>
  </si>
  <si>
    <t>E.R. Type</t>
  </si>
  <si>
    <t>E.R. Qualifer</t>
  </si>
  <si>
    <t>Eff Date</t>
  </si>
  <si>
    <t>Exp Date</t>
  </si>
  <si>
    <t>Branch</t>
  </si>
  <si>
    <t>Dept</t>
  </si>
  <si>
    <t>sin fecha de exp</t>
  </si>
  <si>
    <t>http://www.sbs.gob.pe/</t>
  </si>
  <si>
    <t>Paises</t>
  </si>
  <si>
    <t>HN</t>
  </si>
  <si>
    <t>ARG</t>
  </si>
  <si>
    <t>CR</t>
  </si>
  <si>
    <t>CO</t>
  </si>
  <si>
    <t>PE</t>
  </si>
  <si>
    <t>CL</t>
  </si>
  <si>
    <t>COMPRA</t>
  </si>
  <si>
    <t>Peso Mexicano</t>
  </si>
  <si>
    <t>Tipo de Cambio comercial EUR </t>
  </si>
  <si>
    <t> Tipo de Cambio Observado  EUR</t>
  </si>
  <si>
    <t> Tipo de Cambio Oanda USD</t>
  </si>
  <si>
    <t>Tipo de Cambio comercial USD</t>
  </si>
  <si>
    <t>Tipo de Cambio Observado USD</t>
  </si>
  <si>
    <t>Tipo de Cambio Oanda EUR</t>
  </si>
  <si>
    <t>ACON CO75</t>
  </si>
  <si>
    <t>Book Rate </t>
  </si>
  <si>
    <t>mensual</t>
  </si>
  <si>
    <t>Date</t>
  </si>
  <si>
    <t>CNY- USD</t>
  </si>
  <si>
    <t>JPY-USD</t>
  </si>
  <si>
    <t>EUR-COP</t>
  </si>
  <si>
    <t>CNY- COP</t>
  </si>
  <si>
    <t>JPY-COP</t>
  </si>
  <si>
    <t>BRL-USD</t>
  </si>
  <si>
    <t>PARA WIKI</t>
  </si>
  <si>
    <t>Selling Rates - Ala</t>
  </si>
  <si>
    <t>TRM + 35</t>
  </si>
  <si>
    <t>TRM + 45</t>
  </si>
  <si>
    <t>TRM Client Exchange</t>
  </si>
  <si>
    <t> Book Rate</t>
  </si>
  <si>
    <t> BCR</t>
  </si>
  <si>
    <t>USD-CRC</t>
  </si>
  <si>
    <t> CNY</t>
  </si>
  <si>
    <t> JPY</t>
  </si>
  <si>
    <t>HKD-USD</t>
  </si>
  <si>
    <t>Selling Rate</t>
  </si>
  <si>
    <t> Time</t>
  </si>
  <si>
    <t>BNA Billete</t>
  </si>
  <si>
    <t>BNA Divisa</t>
  </si>
  <si>
    <t>KN Exchange Rate</t>
  </si>
  <si>
    <t xml:space="preserve"> KN Exchange Rate </t>
  </si>
  <si>
    <t> KN Exchange Rate 7AM </t>
  </si>
  <si>
    <t> KN Exchange Rate 15:30 PM</t>
  </si>
  <si>
    <t> KN EUR</t>
  </si>
  <si>
    <t>(Selling Rate)</t>
  </si>
  <si>
    <t>(Customer Ex Rate)</t>
  </si>
  <si>
    <t>(TC de Pago) AM</t>
  </si>
  <si>
    <t>(TC de Pago) PM 17:00</t>
  </si>
  <si>
    <t>EUR- USD</t>
  </si>
  <si>
    <t>https://wiki.int.kn/display/regionsa/Current+Month+Daily+Exchange+Rates+-+Chile</t>
  </si>
  <si>
    <t>https://wiki.int.kn/display/regionsa/Current+Month+Daily+Exchange+Rates+-+Uruguay</t>
  </si>
  <si>
    <t>https://wiki.int.kn/display/regionsa/Current+Month+Daily+Exchange+Rates+-+Argentina</t>
  </si>
  <si>
    <t>banco</t>
  </si>
  <si>
    <t>Bancos</t>
  </si>
  <si>
    <t>pagina</t>
  </si>
  <si>
    <t>EJECUTA ARGENTINA</t>
  </si>
  <si>
    <t>15PM-17PM</t>
  </si>
  <si>
    <t>TELEFONO 10AM</t>
  </si>
  <si>
    <t>To /From</t>
  </si>
  <si>
    <t>Amount</t>
  </si>
  <si>
    <t>Oanda</t>
  </si>
  <si>
    <t>USD CRC</t>
  </si>
  <si>
    <t>To/From</t>
  </si>
  <si>
    <t>USD UYU</t>
  </si>
  <si>
    <t>EUR USD</t>
  </si>
  <si>
    <t>USD COP</t>
  </si>
  <si>
    <t>EUR COP</t>
  </si>
  <si>
    <t>USD PEN</t>
  </si>
  <si>
    <t>CNY USD</t>
  </si>
  <si>
    <t>EUR PEN</t>
  </si>
  <si>
    <t>JPY USD</t>
  </si>
  <si>
    <t>USD CLP</t>
  </si>
  <si>
    <t>CNY COP</t>
  </si>
  <si>
    <t>EUR CLP</t>
  </si>
  <si>
    <t>JPY COP</t>
  </si>
  <si>
    <t>BRL USD</t>
  </si>
  <si>
    <t>KRW USD</t>
  </si>
  <si>
    <t>PAKN</t>
  </si>
  <si>
    <t>PAPTY</t>
  </si>
  <si>
    <t>KRW</t>
  </si>
  <si>
    <t>TC OANDA</t>
  </si>
  <si>
    <t>A</t>
  </si>
  <si>
    <t>TRM+1.2%</t>
  </si>
  <si>
    <t>TRM+1.75%</t>
  </si>
  <si>
    <t>TRM+1,2%</t>
  </si>
  <si>
    <t>TRM+1,75%</t>
  </si>
  <si>
    <t>MENSUAL</t>
  </si>
  <si>
    <t>https://wiki.int.kn/display/regionsa/Exchange+Rate</t>
  </si>
  <si>
    <t>Wikis</t>
  </si>
  <si>
    <t>01/2023</t>
  </si>
  <si>
    <t>Panama</t>
  </si>
  <si>
    <t>Revision</t>
  </si>
  <si>
    <t>Nombre</t>
  </si>
  <si>
    <t>FechaVencimiento</t>
  </si>
  <si>
    <t>CC</t>
  </si>
  <si>
    <t>nadia.hernandez@kuehne-nagel.com;esther.sanchez@Kuehne-Nagel.com</t>
  </si>
  <si>
    <t>agata.sanchez@kuehne-nagel.com;abril.luis@kuehne-nagel.com;carolina.pineiro@Kuehne-Nagel.com</t>
  </si>
  <si>
    <t>USD GTQ</t>
  </si>
  <si>
    <t>USD HNL</t>
  </si>
  <si>
    <t>BRL HNL</t>
  </si>
  <si>
    <t>CNY HNL</t>
  </si>
  <si>
    <t>EUR HNL</t>
  </si>
  <si>
    <t>GBP HNL</t>
  </si>
  <si>
    <t>JPY HNL</t>
  </si>
  <si>
    <t>MXN HNL</t>
  </si>
  <si>
    <t>HKD USD</t>
  </si>
  <si>
    <t>HKD HNL</t>
  </si>
  <si>
    <t>23012023</t>
  </si>
  <si>
    <t>30012023</t>
  </si>
  <si>
    <t>26012023</t>
  </si>
  <si>
    <t>01022023</t>
  </si>
  <si>
    <t>02022023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</si>
</sst>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64" formatCode="#,##0.0000"/>
    <numFmt numFmtId="165" formatCode="0.00000"/>
    <numFmt numFmtId="166" formatCode="0.0000"/>
    <numFmt numFmtId="167" formatCode="0.000"/>
    <numFmt numFmtId="168" formatCode="#,##0.000"/>
    <numFmt numFmtId="169" formatCode="#,##0.000000"/>
    <numFmt numFmtId="170" formatCode="0.00000000000"/>
    <numFmt numFmtId="171" formatCode="dd/mm/yy;@"/>
    <numFmt numFmtId="172" formatCode="d\.m\.yy"/>
    <numFmt numFmtId="173" formatCode="dd\.mm\.yy;@"/>
    <numFmt numFmtId="174" formatCode="mm/yyyy"/>
    <numFmt numFmtId="175" formatCode="yyyy/mm/dd"/>
    <numFmt numFmtId="176" formatCode="0.000000"/>
    <numFmt numFmtId="177" formatCode="#,##0.00000"/>
    <numFmt numFmtId="178" formatCode="0.00000000"/>
    <numFmt numFmtId="179" formatCode="0.00_ ;\-0.00\ "/>
  </numFmts>
  <fonts count="33" x14ac:knownFonts="1">
    <font>
      <sz val="11"/>
      <color theme="1"/>
      <name val="Calibri"/>
      <family val="2"/>
      <scheme val="minor"/>
    </font>
    <font>
      <b/>
      <sz val="20"/>
      <color rgb="FF003369"/>
      <name val="Arial"/>
      <family val="2"/>
    </font>
    <font>
      <b/>
      <sz val="16"/>
      <color rgb="FF0099DA"/>
      <name val="Arial"/>
      <family val="2"/>
    </font>
    <font>
      <sz val="11"/>
      <color theme="1"/>
      <name val="Calibri"/>
      <family val="2"/>
    </font>
    <font>
      <sz val="11"/>
      <color rgb="FFFFFFFF"/>
      <name val="Calibri"/>
      <family val="2"/>
    </font>
    <font>
      <sz val="11"/>
      <name val="Calibri"/>
      <family val="2"/>
    </font>
    <font>
      <sz val="12"/>
      <name val="Calibri"/>
      <family val="2"/>
    </font>
    <font>
      <sz val="14"/>
      <color theme="4" tint="-0.249977111117893"/>
      <name val="Calibri"/>
      <family val="2"/>
    </font>
    <font>
      <b/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</font>
    <font>
      <sz val="11"/>
      <color rgb="FF00B050"/>
      <name val="Calibri"/>
      <family val="2"/>
      <scheme val="minor"/>
    </font>
    <font>
      <sz val="10"/>
      <color theme="4" tint="-0.249977111117893"/>
      <name val="Calibri"/>
      <family val="2"/>
    </font>
    <font>
      <sz val="10"/>
      <color rgb="FF00B050"/>
      <name val="Calibri"/>
      <family val="2"/>
      <scheme val="minor"/>
    </font>
    <font>
      <b/>
      <sz val="9"/>
      <color rgb="FF33333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0"/>
      <name val="Calibri"/>
      <family val="2"/>
    </font>
    <font>
      <b/>
      <sz val="14"/>
      <color theme="0"/>
      <name val="Calibri"/>
      <family val="2"/>
    </font>
    <font>
      <sz val="11"/>
      <color theme="0"/>
      <name val="Calibri"/>
      <family val="2"/>
    </font>
    <font>
      <sz val="11"/>
      <color rgb="FF000000"/>
      <name val="Calibri"/>
      <family val="2"/>
    </font>
    <font>
      <sz val="8"/>
      <color theme="1"/>
      <name val="Calibri"/>
      <family val="2"/>
      <scheme val="minor"/>
    </font>
    <font>
      <sz val="8"/>
      <color theme="1"/>
      <name val="Calibri"/>
      <family val="2"/>
    </font>
    <font>
      <b/>
      <sz val="12"/>
      <color rgb="FF0099DA"/>
      <name val="Arial"/>
      <family val="2"/>
    </font>
    <font>
      <b/>
      <sz val="8"/>
      <color theme="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9"/>
      <color indexed="81"/>
      <name val="Tahoma"/>
      <family val="2"/>
    </font>
    <font>
      <u/>
      <sz val="11"/>
      <color theme="1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rgb="FF1F497D"/>
        <bgColor rgb="FF000000"/>
      </patternFill>
    </fill>
    <fill>
      <patternFill patternType="solid">
        <fgColor rgb="FFDCE6F1"/>
        <bgColor rgb="FF000000"/>
      </patternFill>
    </fill>
    <fill>
      <patternFill patternType="solid">
        <fgColor rgb="FFB8CCE4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FF00"/>
        <bgColor rgb="FF000000"/>
      </patternFill>
    </fill>
    <fill>
      <patternFill patternType="solid">
        <fgColor rgb="FF002060"/>
        <bgColor rgb="FF000000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0.59999389629810485"/>
        <bgColor rgb="FF000000"/>
      </patternFill>
    </fill>
  </fills>
  <borders count="6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0" fontId="18" fillId="0" borderId="0" applyNumberFormat="0" applyFill="0" applyBorder="0" applyAlignment="0" applyProtection="0"/>
  </cellStyleXfs>
  <cellXfs count="321">
    <xf numFmtId="0" fontId="0" fillId="0" borderId="0" xfId="0"/>
    <xf numFmtId="0" fontId="3" fillId="0" borderId="0" xfId="0" applyFont="1"/>
    <xf numFmtId="0" fontId="2" fillId="0" borderId="0" xfId="0" applyFont="1"/>
    <xf numFmtId="0" fontId="4" fillId="2" borderId="1" xfId="0" applyFont="1" applyFill="1" applyBorder="1"/>
    <xf numFmtId="0" fontId="4" fillId="2" borderId="2" xfId="0" applyFont="1" applyFill="1" applyBorder="1"/>
    <xf numFmtId="0" fontId="3" fillId="3" borderId="3" xfId="0" applyFont="1" applyFill="1" applyBorder="1"/>
    <xf numFmtId="0" fontId="3" fillId="3" borderId="4" xfId="0" applyFont="1" applyFill="1" applyBorder="1"/>
    <xf numFmtId="0" fontId="3" fillId="3" borderId="6" xfId="0" applyFont="1" applyFill="1" applyBorder="1"/>
    <xf numFmtId="0" fontId="3" fillId="3" borderId="7" xfId="0" applyFont="1" applyFill="1" applyBorder="1"/>
    <xf numFmtId="0" fontId="3" fillId="3" borderId="8" xfId="0" applyFont="1" applyFill="1" applyBorder="1"/>
    <xf numFmtId="0" fontId="3" fillId="4" borderId="6" xfId="0" applyFont="1" applyFill="1" applyBorder="1"/>
    <xf numFmtId="0" fontId="3" fillId="4" borderId="7" xfId="0" applyFont="1" applyFill="1" applyBorder="1"/>
    <xf numFmtId="0" fontId="3" fillId="4" borderId="8" xfId="0" applyFont="1" applyFill="1" applyBorder="1"/>
    <xf numFmtId="0" fontId="3" fillId="4" borderId="9" xfId="0" applyFont="1" applyFill="1" applyBorder="1"/>
    <xf numFmtId="0" fontId="3" fillId="4" borderId="10" xfId="0" applyFont="1" applyFill="1" applyBorder="1"/>
    <xf numFmtId="0" fontId="3" fillId="4" borderId="11" xfId="0" applyFont="1" applyFill="1" applyBorder="1"/>
    <xf numFmtId="0" fontId="3" fillId="4" borderId="12" xfId="0" applyFont="1" applyFill="1" applyBorder="1"/>
    <xf numFmtId="0" fontId="3" fillId="4" borderId="13" xfId="0" applyFont="1" applyFill="1" applyBorder="1"/>
    <xf numFmtId="0" fontId="3" fillId="4" borderId="14" xfId="0" applyFont="1" applyFill="1" applyBorder="1"/>
    <xf numFmtId="0" fontId="4" fillId="2" borderId="15" xfId="0" applyFont="1" applyFill="1" applyBorder="1"/>
    <xf numFmtId="0" fontId="4" fillId="2" borderId="16" xfId="0" applyFont="1" applyFill="1" applyBorder="1"/>
    <xf numFmtId="0" fontId="5" fillId="3" borderId="17" xfId="0" applyFont="1" applyFill="1" applyBorder="1"/>
    <xf numFmtId="0" fontId="5" fillId="3" borderId="18" xfId="0" applyFont="1" applyFill="1" applyBorder="1"/>
    <xf numFmtId="0" fontId="5" fillId="3" borderId="6" xfId="0" applyFont="1" applyFill="1" applyBorder="1"/>
    <xf numFmtId="0" fontId="5" fillId="3" borderId="7" xfId="0" applyFont="1" applyFill="1" applyBorder="1"/>
    <xf numFmtId="0" fontId="5" fillId="3" borderId="8" xfId="0" applyFont="1" applyFill="1" applyBorder="1"/>
    <xf numFmtId="0" fontId="4" fillId="2" borderId="20" xfId="0" applyFont="1" applyFill="1" applyBorder="1"/>
    <xf numFmtId="0" fontId="4" fillId="2" borderId="21" xfId="0" applyFont="1" applyFill="1" applyBorder="1"/>
    <xf numFmtId="0" fontId="4" fillId="2" borderId="22" xfId="0" applyFont="1" applyFill="1" applyBorder="1"/>
    <xf numFmtId="0" fontId="3" fillId="3" borderId="17" xfId="0" applyFont="1" applyFill="1" applyBorder="1"/>
    <xf numFmtId="0" fontId="3" fillId="3" borderId="18" xfId="0" applyFont="1" applyFill="1" applyBorder="1" applyAlignment="1">
      <alignment horizontal="center"/>
    </xf>
    <xf numFmtId="0" fontId="3" fillId="3" borderId="18" xfId="0" applyFont="1" applyFill="1" applyBorder="1"/>
    <xf numFmtId="0" fontId="3" fillId="3" borderId="7" xfId="0" applyFont="1" applyFill="1" applyBorder="1" applyAlignment="1">
      <alignment horizontal="center"/>
    </xf>
    <xf numFmtId="0" fontId="3" fillId="4" borderId="13" xfId="0" applyFont="1" applyFill="1" applyBorder="1" applyAlignment="1">
      <alignment horizontal="center"/>
    </xf>
    <xf numFmtId="0" fontId="3" fillId="0" borderId="5" xfId="0" applyFont="1" applyBorder="1"/>
    <xf numFmtId="0" fontId="3" fillId="0" borderId="14" xfId="0" applyFont="1" applyBorder="1"/>
    <xf numFmtId="0" fontId="6" fillId="0" borderId="3" xfId="0" applyFont="1" applyBorder="1"/>
    <xf numFmtId="14" fontId="3" fillId="0" borderId="0" xfId="0" applyNumberFormat="1" applyFont="1"/>
    <xf numFmtId="0" fontId="6" fillId="0" borderId="15" xfId="0" applyFont="1" applyBorder="1"/>
    <xf numFmtId="0" fontId="3" fillId="0" borderId="1" xfId="0" applyFont="1" applyBorder="1"/>
    <xf numFmtId="0" fontId="3" fillId="0" borderId="23" xfId="0" applyFont="1" applyBorder="1"/>
    <xf numFmtId="0" fontId="7" fillId="0" borderId="0" xfId="0" applyFont="1"/>
    <xf numFmtId="0" fontId="8" fillId="5" borderId="25" xfId="0" applyFont="1" applyFill="1" applyBorder="1" applyAlignment="1">
      <alignment horizontal="center" vertical="center" wrapText="1"/>
    </xf>
    <xf numFmtId="0" fontId="8" fillId="5" borderId="24" xfId="0" applyFont="1" applyFill="1" applyBorder="1" applyAlignment="1">
      <alignment horizontal="center" vertical="center" wrapText="1"/>
    </xf>
    <xf numFmtId="0" fontId="3" fillId="5" borderId="0" xfId="0" applyFont="1" applyFill="1"/>
    <xf numFmtId="166" fontId="5" fillId="3" borderId="19" xfId="0" applyNumberFormat="1" applyFont="1" applyFill="1" applyBorder="1"/>
    <xf numFmtId="166" fontId="5" fillId="3" borderId="8" xfId="0" applyNumberFormat="1" applyFont="1" applyFill="1" applyBorder="1"/>
    <xf numFmtId="167" fontId="5" fillId="3" borderId="8" xfId="0" applyNumberFormat="1" applyFont="1" applyFill="1" applyBorder="1"/>
    <xf numFmtId="166" fontId="3" fillId="3" borderId="8" xfId="0" applyNumberFormat="1" applyFont="1" applyFill="1" applyBorder="1"/>
    <xf numFmtId="166" fontId="3" fillId="3" borderId="19" xfId="0" applyNumberFormat="1" applyFont="1" applyFill="1" applyBorder="1"/>
    <xf numFmtId="0" fontId="9" fillId="0" borderId="21" xfId="0" applyFont="1" applyBorder="1" applyAlignment="1">
      <alignment horizontal="center"/>
    </xf>
    <xf numFmtId="164" fontId="10" fillId="0" borderId="21" xfId="0" applyNumberFormat="1" applyFont="1" applyBorder="1" applyAlignment="1">
      <alignment horizontal="center" vertical="center"/>
    </xf>
    <xf numFmtId="164" fontId="10" fillId="0" borderId="22" xfId="0" applyNumberFormat="1" applyFont="1" applyBorder="1" applyAlignment="1">
      <alignment horizontal="center" vertical="center"/>
    </xf>
    <xf numFmtId="0" fontId="11" fillId="0" borderId="14" xfId="0" applyFont="1" applyBorder="1"/>
    <xf numFmtId="14" fontId="11" fillId="0" borderId="12" xfId="0" applyNumberFormat="1" applyFont="1" applyBorder="1"/>
    <xf numFmtId="14" fontId="11" fillId="0" borderId="26" xfId="0" applyNumberFormat="1" applyFont="1" applyBorder="1"/>
    <xf numFmtId="2" fontId="3" fillId="3" borderId="8" xfId="0" applyNumberFormat="1" applyFont="1" applyFill="1" applyBorder="1"/>
    <xf numFmtId="167" fontId="3" fillId="3" borderId="5" xfId="0" applyNumberFormat="1" applyFont="1" applyFill="1" applyBorder="1"/>
    <xf numFmtId="165" fontId="5" fillId="3" borderId="8" xfId="0" applyNumberFormat="1" applyFont="1" applyFill="1" applyBorder="1"/>
    <xf numFmtId="167" fontId="12" fillId="0" borderId="0" xfId="0" applyNumberFormat="1" applyFont="1"/>
    <xf numFmtId="168" fontId="0" fillId="0" borderId="0" xfId="0" applyNumberFormat="1"/>
    <xf numFmtId="168" fontId="12" fillId="0" borderId="0" xfId="0" applyNumberFormat="1" applyFont="1"/>
    <xf numFmtId="169" fontId="12" fillId="0" borderId="0" xfId="0" applyNumberFormat="1" applyFont="1"/>
    <xf numFmtId="0" fontId="13" fillId="0" borderId="0" xfId="0" applyFont="1"/>
    <xf numFmtId="0" fontId="9" fillId="0" borderId="0" xfId="0" applyFont="1"/>
    <xf numFmtId="0" fontId="11" fillId="0" borderId="0" xfId="0" applyFont="1"/>
    <xf numFmtId="167" fontId="14" fillId="0" borderId="0" xfId="0" applyNumberFormat="1" applyFont="1"/>
    <xf numFmtId="168" fontId="9" fillId="0" borderId="21" xfId="0" applyNumberFormat="1" applyFont="1" applyBorder="1"/>
    <xf numFmtId="168" fontId="9" fillId="0" borderId="22" xfId="0" applyNumberFormat="1" applyFont="1" applyBorder="1"/>
    <xf numFmtId="0" fontId="15" fillId="0" borderId="20" xfId="0" applyFont="1" applyBorder="1" applyAlignment="1">
      <alignment horizontal="center" vertical="center" wrapText="1"/>
    </xf>
    <xf numFmtId="0" fontId="15" fillId="0" borderId="22" xfId="0" applyFont="1" applyBorder="1" applyAlignment="1">
      <alignment horizontal="center" vertical="center" wrapText="1"/>
    </xf>
    <xf numFmtId="169" fontId="9" fillId="0" borderId="21" xfId="0" applyNumberFormat="1" applyFont="1" applyBorder="1"/>
    <xf numFmtId="169" fontId="9" fillId="0" borderId="22" xfId="0" applyNumberFormat="1" applyFont="1" applyBorder="1"/>
    <xf numFmtId="0" fontId="15" fillId="0" borderId="21" xfId="0" applyFont="1" applyBorder="1" applyAlignment="1">
      <alignment horizontal="center" vertical="center" wrapText="1"/>
    </xf>
    <xf numFmtId="0" fontId="3" fillId="5" borderId="27" xfId="0" applyFont="1" applyFill="1" applyBorder="1"/>
    <xf numFmtId="0" fontId="15" fillId="0" borderId="15" xfId="0" applyFont="1" applyBorder="1" applyAlignment="1">
      <alignment horizontal="center" vertical="center" wrapText="1"/>
    </xf>
    <xf numFmtId="0" fontId="3" fillId="0" borderId="28" xfId="0" applyFont="1" applyBorder="1"/>
    <xf numFmtId="0" fontId="16" fillId="0" borderId="0" xfId="0" applyFont="1" applyAlignment="1">
      <alignment vertical="center"/>
    </xf>
    <xf numFmtId="0" fontId="4" fillId="2" borderId="2" xfId="0" applyFont="1" applyFill="1" applyBorder="1" applyAlignment="1">
      <alignment horizontal="center"/>
    </xf>
    <xf numFmtId="49" fontId="3" fillId="3" borderId="8" xfId="0" applyNumberFormat="1" applyFont="1" applyFill="1" applyBorder="1" applyAlignment="1">
      <alignment horizontal="center"/>
    </xf>
    <xf numFmtId="2" fontId="3" fillId="3" borderId="8" xfId="0" applyNumberFormat="1" applyFont="1" applyFill="1" applyBorder="1" applyAlignment="1">
      <alignment horizontal="center"/>
    </xf>
    <xf numFmtId="0" fontId="3" fillId="3" borderId="8" xfId="0" applyFont="1" applyFill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7" xfId="0" applyBorder="1"/>
    <xf numFmtId="0" fontId="18" fillId="5" borderId="7" xfId="1" applyFill="1" applyBorder="1"/>
    <xf numFmtId="0" fontId="18" fillId="0" borderId="7" xfId="1" applyBorder="1" applyAlignment="1">
      <alignment vertical="center"/>
    </xf>
    <xf numFmtId="0" fontId="0" fillId="0" borderId="7" xfId="0" applyBorder="1" applyAlignment="1">
      <alignment horizontal="center" wrapText="1"/>
    </xf>
    <xf numFmtId="0" fontId="0" fillId="0" borderId="7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/>
    </xf>
    <xf numFmtId="0" fontId="17" fillId="7" borderId="7" xfId="0" applyFont="1" applyFill="1" applyBorder="1" applyAlignment="1">
      <alignment horizontal="center"/>
    </xf>
    <xf numFmtId="0" fontId="18" fillId="0" borderId="7" xfId="1" applyBorder="1"/>
    <xf numFmtId="0" fontId="18" fillId="0" borderId="7" xfId="1" applyFill="1" applyBorder="1" applyAlignment="1">
      <alignment vertical="center"/>
    </xf>
    <xf numFmtId="0" fontId="18" fillId="0" borderId="7" xfId="1" applyFill="1" applyBorder="1"/>
    <xf numFmtId="0" fontId="18" fillId="0" borderId="7" xfId="1" applyBorder="1" applyAlignment="1">
      <alignment wrapText="1"/>
    </xf>
    <xf numFmtId="0" fontId="0" fillId="8" borderId="7" xfId="0" applyFill="1" applyBorder="1" applyAlignment="1">
      <alignment horizontal="center"/>
    </xf>
    <xf numFmtId="49" fontId="0" fillId="0" borderId="0" xfId="0" applyNumberFormat="1"/>
    <xf numFmtId="170" fontId="0" fillId="0" borderId="0" xfId="0" applyNumberFormat="1"/>
    <xf numFmtId="171" fontId="0" fillId="0" borderId="0" xfId="0" applyNumberFormat="1"/>
    <xf numFmtId="0" fontId="20" fillId="9" borderId="0" xfId="0" applyFont="1" applyFill="1"/>
    <xf numFmtId="49" fontId="20" fillId="9" borderId="0" xfId="0" applyNumberFormat="1" applyFont="1" applyFill="1"/>
    <xf numFmtId="170" fontId="20" fillId="9" borderId="0" xfId="0" applyNumberFormat="1" applyFont="1" applyFill="1"/>
    <xf numFmtId="172" fontId="0" fillId="0" borderId="0" xfId="0" applyNumberFormat="1"/>
    <xf numFmtId="0" fontId="21" fillId="0" borderId="0" xfId="0" applyFont="1"/>
    <xf numFmtId="49" fontId="21" fillId="0" borderId="0" xfId="0" applyNumberFormat="1" applyFont="1"/>
    <xf numFmtId="170" fontId="21" fillId="0" borderId="0" xfId="0" applyNumberFormat="1" applyFont="1"/>
    <xf numFmtId="14" fontId="0" fillId="0" borderId="0" xfId="0" applyNumberFormat="1"/>
    <xf numFmtId="173" fontId="0" fillId="0" borderId="0" xfId="0" applyNumberFormat="1"/>
    <xf numFmtId="49" fontId="19" fillId="10" borderId="32" xfId="0" applyNumberFormat="1" applyFont="1" applyFill="1" applyBorder="1"/>
    <xf numFmtId="49" fontId="19" fillId="10" borderId="33" xfId="0" applyNumberFormat="1" applyFont="1" applyFill="1" applyBorder="1"/>
    <xf numFmtId="49" fontId="19" fillId="10" borderId="34" xfId="0" applyNumberFormat="1" applyFont="1" applyFill="1" applyBorder="1"/>
    <xf numFmtId="49" fontId="19" fillId="10" borderId="0" xfId="0" applyNumberFormat="1" applyFont="1" applyFill="1"/>
    <xf numFmtId="174" fontId="0" fillId="0" borderId="0" xfId="0" applyNumberFormat="1"/>
    <xf numFmtId="175" fontId="22" fillId="6" borderId="16" xfId="0" applyNumberFormat="1" applyFont="1" applyFill="1" applyBorder="1" applyAlignment="1">
      <alignment horizontal="center" vertical="center"/>
    </xf>
    <xf numFmtId="0" fontId="23" fillId="6" borderId="26" xfId="0" applyFont="1" applyFill="1" applyBorder="1" applyAlignment="1">
      <alignment horizontal="center" vertical="center"/>
    </xf>
    <xf numFmtId="166" fontId="5" fillId="3" borderId="8" xfId="0" applyNumberFormat="1" applyFont="1" applyFill="1" applyBorder="1" applyAlignment="1">
      <alignment horizontal="right"/>
    </xf>
    <xf numFmtId="0" fontId="5" fillId="3" borderId="8" xfId="0" applyFont="1" applyFill="1" applyBorder="1" applyAlignment="1">
      <alignment horizontal="right"/>
    </xf>
    <xf numFmtId="167" fontId="5" fillId="3" borderId="8" xfId="0" applyNumberFormat="1" applyFont="1" applyFill="1" applyBorder="1" applyAlignment="1">
      <alignment horizontal="right"/>
    </xf>
    <xf numFmtId="165" fontId="5" fillId="3" borderId="8" xfId="0" applyNumberFormat="1" applyFont="1" applyFill="1" applyBorder="1" applyAlignment="1">
      <alignment horizontal="right"/>
    </xf>
    <xf numFmtId="0" fontId="3" fillId="4" borderId="8" xfId="0" applyFont="1" applyFill="1" applyBorder="1" applyAlignment="1">
      <alignment horizontal="right"/>
    </xf>
    <xf numFmtId="0" fontId="3" fillId="11" borderId="7" xfId="0" applyFont="1" applyFill="1" applyBorder="1"/>
    <xf numFmtId="0" fontId="3" fillId="11" borderId="13" xfId="0" applyFont="1" applyFill="1" applyBorder="1"/>
    <xf numFmtId="0" fontId="24" fillId="0" borderId="0" xfId="0" applyFont="1"/>
    <xf numFmtId="0" fontId="3" fillId="3" borderId="8" xfId="0" applyFont="1" applyFill="1" applyBorder="1" applyAlignment="1">
      <alignment horizontal="center" wrapText="1"/>
    </xf>
    <xf numFmtId="0" fontId="3" fillId="11" borderId="6" xfId="0" applyFont="1" applyFill="1" applyBorder="1"/>
    <xf numFmtId="0" fontId="3" fillId="11" borderId="8" xfId="0" applyFont="1" applyFill="1" applyBorder="1"/>
    <xf numFmtId="0" fontId="3" fillId="11" borderId="9" xfId="0" applyFont="1" applyFill="1" applyBorder="1"/>
    <xf numFmtId="0" fontId="3" fillId="11" borderId="10" xfId="0" applyFont="1" applyFill="1" applyBorder="1"/>
    <xf numFmtId="0" fontId="3" fillId="11" borderId="11" xfId="0" applyFont="1" applyFill="1" applyBorder="1"/>
    <xf numFmtId="0" fontId="3" fillId="11" borderId="12" xfId="0" applyFont="1" applyFill="1" applyBorder="1"/>
    <xf numFmtId="3" fontId="0" fillId="0" borderId="0" xfId="0" applyNumberFormat="1"/>
    <xf numFmtId="0" fontId="3" fillId="3" borderId="9" xfId="0" applyFont="1" applyFill="1" applyBorder="1"/>
    <xf numFmtId="0" fontId="3" fillId="3" borderId="10" xfId="0" applyFont="1" applyFill="1" applyBorder="1"/>
    <xf numFmtId="0" fontId="3" fillId="4" borderId="17" xfId="0" applyFont="1" applyFill="1" applyBorder="1"/>
    <xf numFmtId="0" fontId="3" fillId="4" borderId="18" xfId="0" applyFont="1" applyFill="1" applyBorder="1"/>
    <xf numFmtId="0" fontId="3" fillId="0" borderId="37" xfId="0" applyFont="1" applyBorder="1"/>
    <xf numFmtId="0" fontId="3" fillId="13" borderId="37" xfId="0" applyFont="1" applyFill="1" applyBorder="1"/>
    <xf numFmtId="0" fontId="3" fillId="14" borderId="1" xfId="0" applyFont="1" applyFill="1" applyBorder="1"/>
    <xf numFmtId="0" fontId="3" fillId="15" borderId="38" xfId="0" applyFont="1" applyFill="1" applyBorder="1"/>
    <xf numFmtId="0" fontId="3" fillId="3" borderId="8" xfId="0" applyFont="1" applyFill="1" applyBorder="1" applyAlignment="1">
      <alignment horizontal="right"/>
    </xf>
    <xf numFmtId="176" fontId="5" fillId="3" borderId="19" xfId="0" applyNumberFormat="1" applyFont="1" applyFill="1" applyBorder="1" applyAlignment="1">
      <alignment horizontal="right"/>
    </xf>
    <xf numFmtId="166" fontId="3" fillId="3" borderId="8" xfId="0" applyNumberFormat="1" applyFont="1" applyFill="1" applyBorder="1" applyAlignment="1">
      <alignment horizontal="right"/>
    </xf>
    <xf numFmtId="0" fontId="3" fillId="3" borderId="29" xfId="0" applyFont="1" applyFill="1" applyBorder="1" applyAlignment="1">
      <alignment horizontal="right"/>
    </xf>
    <xf numFmtId="0" fontId="3" fillId="3" borderId="30" xfId="0" applyFont="1" applyFill="1" applyBorder="1" applyAlignment="1">
      <alignment horizontal="right"/>
    </xf>
    <xf numFmtId="14" fontId="3" fillId="3" borderId="30" xfId="0" applyNumberFormat="1" applyFont="1" applyFill="1" applyBorder="1" applyAlignment="1">
      <alignment horizontal="right"/>
    </xf>
    <xf numFmtId="175" fontId="3" fillId="3" borderId="30" xfId="0" applyNumberFormat="1" applyFont="1" applyFill="1" applyBorder="1" applyAlignment="1">
      <alignment horizontal="right"/>
    </xf>
    <xf numFmtId="0" fontId="3" fillId="11" borderId="30" xfId="0" applyFont="1" applyFill="1" applyBorder="1" applyAlignment="1">
      <alignment horizontal="right"/>
    </xf>
    <xf numFmtId="14" fontId="3" fillId="11" borderId="30" xfId="0" applyNumberFormat="1" applyFont="1" applyFill="1" applyBorder="1" applyAlignment="1">
      <alignment horizontal="right"/>
    </xf>
    <xf numFmtId="0" fontId="3" fillId="11" borderId="31" xfId="0" applyFont="1" applyFill="1" applyBorder="1" applyAlignment="1">
      <alignment horizontal="right"/>
    </xf>
    <xf numFmtId="14" fontId="3" fillId="11" borderId="14" xfId="0" applyNumberFormat="1" applyFont="1" applyFill="1" applyBorder="1" applyAlignment="1">
      <alignment horizontal="right"/>
    </xf>
    <xf numFmtId="2" fontId="3" fillId="11" borderId="12" xfId="0" applyNumberFormat="1" applyFont="1" applyFill="1" applyBorder="1"/>
    <xf numFmtId="49" fontId="3" fillId="11" borderId="8" xfId="0" applyNumberFormat="1" applyFont="1" applyFill="1" applyBorder="1" applyAlignment="1">
      <alignment horizontal="center"/>
    </xf>
    <xf numFmtId="0" fontId="5" fillId="3" borderId="39" xfId="0" applyFont="1" applyFill="1" applyBorder="1"/>
    <xf numFmtId="0" fontId="3" fillId="4" borderId="40" xfId="0" applyFont="1" applyFill="1" applyBorder="1"/>
    <xf numFmtId="0" fontId="3" fillId="4" borderId="30" xfId="0" applyFont="1" applyFill="1" applyBorder="1"/>
    <xf numFmtId="0" fontId="3" fillId="4" borderId="42" xfId="0" applyFont="1" applyFill="1" applyBorder="1" applyAlignment="1">
      <alignment horizontal="right"/>
    </xf>
    <xf numFmtId="3" fontId="3" fillId="4" borderId="13" xfId="0" applyNumberFormat="1" applyFont="1" applyFill="1" applyBorder="1" applyAlignment="1">
      <alignment horizontal="left"/>
    </xf>
    <xf numFmtId="0" fontId="3" fillId="4" borderId="13" xfId="0" applyFont="1" applyFill="1" applyBorder="1" applyAlignment="1">
      <alignment horizontal="left"/>
    </xf>
    <xf numFmtId="0" fontId="3" fillId="3" borderId="44" xfId="0" applyFont="1" applyFill="1" applyBorder="1"/>
    <xf numFmtId="0" fontId="3" fillId="3" borderId="45" xfId="0" applyFont="1" applyFill="1" applyBorder="1"/>
    <xf numFmtId="0" fontId="3" fillId="4" borderId="39" xfId="0" applyFont="1" applyFill="1" applyBorder="1"/>
    <xf numFmtId="0" fontId="3" fillId="4" borderId="44" xfId="0" applyFont="1" applyFill="1" applyBorder="1"/>
    <xf numFmtId="0" fontId="3" fillId="4" borderId="45" xfId="0" applyFont="1" applyFill="1" applyBorder="1"/>
    <xf numFmtId="0" fontId="3" fillId="4" borderId="46" xfId="0" applyFont="1" applyFill="1" applyBorder="1"/>
    <xf numFmtId="14" fontId="4" fillId="2" borderId="2" xfId="0" applyNumberFormat="1" applyFont="1" applyFill="1" applyBorder="1"/>
    <xf numFmtId="14" fontId="3" fillId="3" borderId="11" xfId="0" applyNumberFormat="1" applyFont="1" applyFill="1" applyBorder="1" applyAlignment="1">
      <alignment horizontal="right"/>
    </xf>
    <xf numFmtId="14" fontId="3" fillId="4" borderId="19" xfId="0" applyNumberFormat="1" applyFont="1" applyFill="1" applyBorder="1" applyAlignment="1">
      <alignment horizontal="right"/>
    </xf>
    <xf numFmtId="14" fontId="3" fillId="4" borderId="8" xfId="0" applyNumberFormat="1" applyFont="1" applyFill="1" applyBorder="1" applyAlignment="1">
      <alignment horizontal="right"/>
    </xf>
    <xf numFmtId="14" fontId="3" fillId="4" borderId="8" xfId="0" applyNumberFormat="1" applyFont="1" applyFill="1" applyBorder="1"/>
    <xf numFmtId="14" fontId="3" fillId="4" borderId="11" xfId="0" applyNumberFormat="1" applyFont="1" applyFill="1" applyBorder="1"/>
    <xf numFmtId="14" fontId="3" fillId="4" borderId="14" xfId="0" applyNumberFormat="1" applyFont="1" applyFill="1" applyBorder="1"/>
    <xf numFmtId="14" fontId="3" fillId="5" borderId="0" xfId="0" applyNumberFormat="1" applyFont="1" applyFill="1"/>
    <xf numFmtId="14" fontId="11" fillId="0" borderId="0" xfId="0" applyNumberFormat="1" applyFont="1"/>
    <xf numFmtId="49" fontId="3" fillId="3" borderId="5" xfId="0" applyNumberFormat="1" applyFont="1" applyFill="1" applyBorder="1" applyAlignment="1">
      <alignment horizontal="right"/>
    </xf>
    <xf numFmtId="0" fontId="3" fillId="3" borderId="50" xfId="0" applyFont="1" applyFill="1" applyBorder="1"/>
    <xf numFmtId="0" fontId="3" fillId="3" borderId="0" xfId="0" applyFont="1" applyFill="1"/>
    <xf numFmtId="0" fontId="3" fillId="3" borderId="0" xfId="0" applyFont="1" applyFill="1" applyAlignment="1">
      <alignment horizontal="right"/>
    </xf>
    <xf numFmtId="49" fontId="3" fillId="3" borderId="51" xfId="0" applyNumberFormat="1" applyFont="1" applyFill="1" applyBorder="1" applyAlignment="1">
      <alignment horizontal="center"/>
    </xf>
    <xf numFmtId="171" fontId="3" fillId="3" borderId="10" xfId="0" applyNumberFormat="1" applyFont="1" applyFill="1" applyBorder="1" applyAlignment="1">
      <alignment horizontal="center"/>
    </xf>
    <xf numFmtId="0" fontId="5" fillId="3" borderId="44" xfId="0" applyFont="1" applyFill="1" applyBorder="1"/>
    <xf numFmtId="49" fontId="3" fillId="0" borderId="0" xfId="0" applyNumberFormat="1" applyFont="1"/>
    <xf numFmtId="49" fontId="4" fillId="2" borderId="15" xfId="0" applyNumberFormat="1" applyFont="1" applyFill="1" applyBorder="1"/>
    <xf numFmtId="49" fontId="5" fillId="3" borderId="18" xfId="0" applyNumberFormat="1" applyFont="1" applyFill="1" applyBorder="1"/>
    <xf numFmtId="49" fontId="11" fillId="0" borderId="0" xfId="0" applyNumberFormat="1" applyFont="1"/>
    <xf numFmtId="49" fontId="3" fillId="5" borderId="0" xfId="0" applyNumberFormat="1" applyFont="1" applyFill="1"/>
    <xf numFmtId="0" fontId="26" fillId="0" borderId="0" xfId="0" applyFont="1"/>
    <xf numFmtId="0" fontId="27" fillId="0" borderId="0" xfId="0" applyFont="1"/>
    <xf numFmtId="0" fontId="3" fillId="3" borderId="18" xfId="0" applyFont="1" applyFill="1" applyBorder="1" applyAlignment="1">
      <alignment horizontal="left"/>
    </xf>
    <xf numFmtId="0" fontId="3" fillId="3" borderId="7" xfId="0" applyFont="1" applyFill="1" applyBorder="1" applyAlignment="1">
      <alignment horizontal="left"/>
    </xf>
    <xf numFmtId="0" fontId="3" fillId="3" borderId="17" xfId="0" applyFont="1" applyFill="1" applyBorder="1" applyAlignment="1">
      <alignment horizontal="left"/>
    </xf>
    <xf numFmtId="0" fontId="3" fillId="3" borderId="6" xfId="0" applyFont="1" applyFill="1" applyBorder="1" applyAlignment="1">
      <alignment horizontal="left"/>
    </xf>
    <xf numFmtId="0" fontId="3" fillId="4" borderId="12" xfId="0" applyFont="1" applyFill="1" applyBorder="1" applyAlignment="1">
      <alignment horizontal="left"/>
    </xf>
    <xf numFmtId="0" fontId="3" fillId="3" borderId="18" xfId="0" quotePrefix="1" applyFont="1" applyFill="1" applyBorder="1"/>
    <xf numFmtId="0" fontId="3" fillId="0" borderId="27" xfId="0" applyFont="1" applyBorder="1"/>
    <xf numFmtId="2" fontId="3" fillId="3" borderId="44" xfId="0" applyNumberFormat="1" applyFont="1" applyFill="1" applyBorder="1"/>
    <xf numFmtId="2" fontId="5" fillId="3" borderId="8" xfId="0" applyNumberFormat="1" applyFont="1" applyFill="1" applyBorder="1" applyAlignment="1">
      <alignment horizontal="right"/>
    </xf>
    <xf numFmtId="0" fontId="28" fillId="0" borderId="0" xfId="0" applyFont="1"/>
    <xf numFmtId="0" fontId="5" fillId="3" borderId="12" xfId="0" applyFont="1" applyFill="1" applyBorder="1"/>
    <xf numFmtId="0" fontId="5" fillId="3" borderId="46" xfId="0" applyFont="1" applyFill="1" applyBorder="1"/>
    <xf numFmtId="0" fontId="5" fillId="3" borderId="41" xfId="0" applyFont="1" applyFill="1" applyBorder="1"/>
    <xf numFmtId="14" fontId="29" fillId="17" borderId="25" xfId="0" applyNumberFormat="1" applyFont="1" applyFill="1" applyBorder="1" applyAlignment="1">
      <alignment horizontal="center" vertical="center" wrapText="1"/>
    </xf>
    <xf numFmtId="14" fontId="29" fillId="6" borderId="25" xfId="0" applyNumberFormat="1" applyFont="1" applyFill="1" applyBorder="1" applyAlignment="1">
      <alignment horizontal="center" vertical="center" wrapText="1"/>
    </xf>
    <xf numFmtId="14" fontId="29" fillId="6" borderId="24" xfId="0" applyNumberFormat="1" applyFont="1" applyFill="1" applyBorder="1" applyAlignment="1">
      <alignment horizontal="center" vertical="center" wrapText="1"/>
    </xf>
    <xf numFmtId="14" fontId="12" fillId="0" borderId="0" xfId="0" applyNumberFormat="1" applyFont="1"/>
    <xf numFmtId="0" fontId="3" fillId="0" borderId="50" xfId="0" applyFont="1" applyBorder="1"/>
    <xf numFmtId="168" fontId="12" fillId="0" borderId="50" xfId="0" applyNumberFormat="1" applyFont="1" applyBorder="1"/>
    <xf numFmtId="14" fontId="9" fillId="0" borderId="0" xfId="0" applyNumberFormat="1" applyFont="1"/>
    <xf numFmtId="167" fontId="14" fillId="0" borderId="50" xfId="0" applyNumberFormat="1" applyFont="1" applyBorder="1"/>
    <xf numFmtId="2" fontId="21" fillId="0" borderId="0" xfId="0" applyNumberFormat="1" applyFont="1"/>
    <xf numFmtId="0" fontId="12" fillId="0" borderId="0" xfId="0" applyFont="1"/>
    <xf numFmtId="165" fontId="12" fillId="0" borderId="0" xfId="0" applyNumberFormat="1" applyFont="1"/>
    <xf numFmtId="0" fontId="5" fillId="3" borderId="58" xfId="0" applyFont="1" applyFill="1" applyBorder="1"/>
    <xf numFmtId="0" fontId="5" fillId="3" borderId="48" xfId="0" applyFont="1" applyFill="1" applyBorder="1"/>
    <xf numFmtId="0" fontId="0" fillId="0" borderId="54" xfId="0" applyBorder="1"/>
    <xf numFmtId="0" fontId="30" fillId="0" borderId="0" xfId="0" applyFont="1"/>
    <xf numFmtId="0" fontId="0" fillId="16" borderId="0" xfId="0" applyFill="1"/>
    <xf numFmtId="0" fontId="3" fillId="16" borderId="0" xfId="0" applyFont="1" applyFill="1"/>
    <xf numFmtId="49" fontId="3" fillId="16" borderId="0" xfId="0" applyNumberFormat="1" applyFont="1" applyFill="1"/>
    <xf numFmtId="14" fontId="3" fillId="16" borderId="0" xfId="0" applyNumberFormat="1" applyFont="1" applyFill="1"/>
    <xf numFmtId="14" fontId="29" fillId="6" borderId="20" xfId="0" applyNumberFormat="1" applyFont="1" applyFill="1" applyBorder="1" applyAlignment="1">
      <alignment horizontal="center" vertical="center" wrapText="1"/>
    </xf>
    <xf numFmtId="14" fontId="29" fillId="6" borderId="22" xfId="0" applyNumberFormat="1" applyFont="1" applyFill="1" applyBorder="1" applyAlignment="1">
      <alignment horizontal="center" vertical="center" wrapText="1"/>
    </xf>
    <xf numFmtId="14" fontId="29" fillId="6" borderId="15" xfId="0" applyNumberFormat="1" applyFont="1" applyFill="1" applyBorder="1" applyAlignment="1">
      <alignment horizontal="center" vertical="center" wrapText="1"/>
    </xf>
    <xf numFmtId="0" fontId="5" fillId="3" borderId="20" xfId="0" applyFont="1" applyFill="1" applyBorder="1"/>
    <xf numFmtId="14" fontId="29" fillId="6" borderId="23" xfId="0" applyNumberFormat="1" applyFont="1" applyFill="1" applyBorder="1" applyAlignment="1">
      <alignment horizontal="center" vertical="center" wrapText="1"/>
    </xf>
    <xf numFmtId="0" fontId="5" fillId="3" borderId="3" xfId="0" applyFont="1" applyFill="1" applyBorder="1"/>
    <xf numFmtId="0" fontId="5" fillId="3" borderId="4" xfId="0" applyFont="1" applyFill="1" applyBorder="1"/>
    <xf numFmtId="0" fontId="5" fillId="3" borderId="5" xfId="0" applyFont="1" applyFill="1" applyBorder="1"/>
    <xf numFmtId="0" fontId="5" fillId="3" borderId="13" xfId="0" applyFont="1" applyFill="1" applyBorder="1"/>
    <xf numFmtId="0" fontId="5" fillId="3" borderId="21" xfId="0" applyFont="1" applyFill="1" applyBorder="1"/>
    <xf numFmtId="0" fontId="5" fillId="3" borderId="22" xfId="0" applyFont="1" applyFill="1" applyBorder="1"/>
    <xf numFmtId="2" fontId="5" fillId="3" borderId="46" xfId="0" applyNumberFormat="1" applyFont="1" applyFill="1" applyBorder="1"/>
    <xf numFmtId="2" fontId="5" fillId="3" borderId="15" xfId="0" applyNumberFormat="1" applyFont="1" applyFill="1" applyBorder="1"/>
    <xf numFmtId="2" fontId="5" fillId="3" borderId="16" xfId="0" applyNumberFormat="1" applyFont="1" applyFill="1" applyBorder="1"/>
    <xf numFmtId="2" fontId="3" fillId="3" borderId="7" xfId="0" applyNumberFormat="1" applyFont="1" applyFill="1" applyBorder="1"/>
    <xf numFmtId="165" fontId="5" fillId="3" borderId="46" xfId="0" applyNumberFormat="1" applyFont="1" applyFill="1" applyBorder="1"/>
    <xf numFmtId="168" fontId="5" fillId="3" borderId="46" xfId="0" applyNumberFormat="1" applyFont="1" applyFill="1" applyBorder="1"/>
    <xf numFmtId="164" fontId="5" fillId="3" borderId="46" xfId="0" applyNumberFormat="1" applyFont="1" applyFill="1" applyBorder="1"/>
    <xf numFmtId="177" fontId="5" fillId="3" borderId="41" xfId="0" applyNumberFormat="1" applyFont="1" applyFill="1" applyBorder="1"/>
    <xf numFmtId="2" fontId="0" fillId="0" borderId="0" xfId="0" applyNumberFormat="1"/>
    <xf numFmtId="0" fontId="24" fillId="12" borderId="26" xfId="0" applyFont="1" applyFill="1" applyBorder="1" applyAlignment="1">
      <alignment horizontal="center"/>
    </xf>
    <xf numFmtId="0" fontId="24" fillId="12" borderId="35" xfId="0" applyFont="1" applyFill="1" applyBorder="1" applyAlignment="1">
      <alignment horizontal="center"/>
    </xf>
    <xf numFmtId="0" fontId="24" fillId="12" borderId="16" xfId="0" applyFont="1" applyFill="1" applyBorder="1" applyAlignment="1">
      <alignment horizontal="center"/>
    </xf>
    <xf numFmtId="0" fontId="20" fillId="17" borderId="0" xfId="0" applyFont="1" applyFill="1" applyAlignment="1">
      <alignment horizontal="center" vertical="center"/>
    </xf>
    <xf numFmtId="167" fontId="3" fillId="3" borderId="44" xfId="0" applyNumberFormat="1" applyFont="1" applyFill="1" applyBorder="1"/>
    <xf numFmtId="167" fontId="3" fillId="3" borderId="43" xfId="0" applyNumberFormat="1" applyFont="1" applyFill="1" applyBorder="1"/>
    <xf numFmtId="168" fontId="3" fillId="4" borderId="8" xfId="0" applyNumberFormat="1" applyFont="1" applyFill="1" applyBorder="1" applyAlignment="1">
      <alignment horizontal="right"/>
    </xf>
    <xf numFmtId="177" fontId="3" fillId="4" borderId="8" xfId="0" applyNumberFormat="1" applyFont="1" applyFill="1" applyBorder="1" applyAlignment="1">
      <alignment horizontal="right"/>
    </xf>
    <xf numFmtId="176" fontId="5" fillId="3" borderId="11" xfId="0" applyNumberFormat="1" applyFont="1" applyFill="1" applyBorder="1" applyAlignment="1">
      <alignment horizontal="right"/>
    </xf>
    <xf numFmtId="3" fontId="3" fillId="4" borderId="7" xfId="0" applyNumberFormat="1" applyFont="1" applyFill="1" applyBorder="1" applyAlignment="1">
      <alignment horizontal="left"/>
    </xf>
    <xf numFmtId="0" fontId="3" fillId="4" borderId="7" xfId="0" applyFont="1" applyFill="1" applyBorder="1" applyAlignment="1">
      <alignment horizontal="left"/>
    </xf>
    <xf numFmtId="165" fontId="5" fillId="3" borderId="19" xfId="0" applyNumberFormat="1" applyFont="1" applyFill="1" applyBorder="1" applyAlignment="1">
      <alignment horizontal="right"/>
    </xf>
    <xf numFmtId="0" fontId="3" fillId="0" borderId="51" xfId="0" applyFont="1" applyBorder="1"/>
    <xf numFmtId="167" fontId="3" fillId="3" borderId="19" xfId="0" applyNumberFormat="1" applyFont="1" applyFill="1" applyBorder="1" applyAlignment="1">
      <alignment horizontal="right"/>
    </xf>
    <xf numFmtId="167" fontId="5" fillId="3" borderId="41" xfId="0" applyNumberFormat="1" applyFont="1" applyFill="1" applyBorder="1"/>
    <xf numFmtId="167" fontId="3" fillId="3" borderId="8" xfId="0" applyNumberFormat="1" applyFont="1" applyFill="1" applyBorder="1" applyAlignment="1">
      <alignment horizontal="right"/>
    </xf>
    <xf numFmtId="2" fontId="3" fillId="3" borderId="8" xfId="0" applyNumberFormat="1" applyFont="1" applyFill="1" applyBorder="1" applyAlignment="1">
      <alignment horizontal="right"/>
    </xf>
    <xf numFmtId="0" fontId="18" fillId="0" borderId="37" xfId="1" applyFill="1" applyBorder="1"/>
    <xf numFmtId="0" fontId="0" fillId="0" borderId="37" xfId="0" applyBorder="1"/>
    <xf numFmtId="0" fontId="18" fillId="0" borderId="38" xfId="1" applyFill="1" applyBorder="1"/>
    <xf numFmtId="0" fontId="19" fillId="17" borderId="59" xfId="0" applyFont="1" applyFill="1" applyBorder="1" applyAlignment="1">
      <alignment horizontal="center" vertical="center"/>
    </xf>
    <xf numFmtId="49" fontId="3" fillId="3" borderId="19" xfId="0" applyNumberFormat="1" applyFont="1" applyFill="1" applyBorder="1" applyAlignment="1">
      <alignment horizontal="right"/>
    </xf>
    <xf numFmtId="49" fontId="3" fillId="3" borderId="51" xfId="0" applyNumberFormat="1" applyFont="1" applyFill="1" applyBorder="1" applyAlignment="1">
      <alignment horizontal="right"/>
    </xf>
    <xf numFmtId="49" fontId="3" fillId="3" borderId="8" xfId="0" applyNumberFormat="1" applyFont="1" applyFill="1" applyBorder="1" applyAlignment="1">
      <alignment horizontal="right"/>
    </xf>
    <xf numFmtId="49" fontId="3" fillId="3" borderId="11" xfId="0" applyNumberFormat="1" applyFont="1" applyFill="1" applyBorder="1" applyAlignment="1">
      <alignment horizontal="right"/>
    </xf>
    <xf numFmtId="0" fontId="26" fillId="0" borderId="50" xfId="0" applyFont="1" applyBorder="1"/>
    <xf numFmtId="49" fontId="3" fillId="3" borderId="14" xfId="0" applyNumberFormat="1" applyFont="1" applyFill="1" applyBorder="1" applyAlignment="1">
      <alignment horizontal="right"/>
    </xf>
    <xf numFmtId="0" fontId="3" fillId="0" borderId="49" xfId="0" applyFont="1" applyBorder="1"/>
    <xf numFmtId="0" fontId="32" fillId="0" borderId="37" xfId="0" applyFont="1" applyBorder="1"/>
    <xf numFmtId="0" fontId="18" fillId="0" borderId="0" xfId="1"/>
    <xf numFmtId="164" fontId="3" fillId="4" borderId="8" xfId="0" applyNumberFormat="1" applyFont="1" applyFill="1" applyBorder="1" applyAlignment="1">
      <alignment horizontal="right"/>
    </xf>
    <xf numFmtId="177" fontId="3" fillId="4" borderId="41" xfId="0" applyNumberFormat="1" applyFont="1" applyFill="1" applyBorder="1" applyAlignment="1">
      <alignment horizontal="right"/>
    </xf>
    <xf numFmtId="168" fontId="5" fillId="3" borderId="13" xfId="0" applyNumberFormat="1" applyFont="1" applyFill="1" applyBorder="1"/>
    <xf numFmtId="178" fontId="5" fillId="3" borderId="14" xfId="0" applyNumberFormat="1" applyFont="1" applyFill="1" applyBorder="1"/>
    <xf numFmtId="177" fontId="5" fillId="3" borderId="13" xfId="0" applyNumberFormat="1" applyFont="1" applyFill="1" applyBorder="1"/>
    <xf numFmtId="0" fontId="3" fillId="18" borderId="6" xfId="0" applyFont="1" applyFill="1" applyBorder="1" applyAlignment="1">
      <alignment horizontal="left"/>
    </xf>
    <xf numFmtId="0" fontId="3" fillId="18" borderId="7" xfId="0" applyFont="1" applyFill="1" applyBorder="1"/>
    <xf numFmtId="0" fontId="3" fillId="18" borderId="7" xfId="0" applyFont="1" applyFill="1" applyBorder="1" applyAlignment="1">
      <alignment horizontal="left"/>
    </xf>
    <xf numFmtId="0" fontId="3" fillId="18" borderId="8" xfId="0" applyFont="1" applyFill="1" applyBorder="1"/>
    <xf numFmtId="167" fontId="5" fillId="3" borderId="42" xfId="0" applyNumberFormat="1" applyFont="1" applyFill="1" applyBorder="1"/>
    <xf numFmtId="2" fontId="3" fillId="4" borderId="8" xfId="0" applyNumberFormat="1" applyFont="1" applyFill="1" applyBorder="1" applyAlignment="1">
      <alignment horizontal="right"/>
    </xf>
    <xf numFmtId="166" fontId="5" fillId="3" borderId="46" xfId="0" applyNumberFormat="1" applyFont="1" applyFill="1" applyBorder="1"/>
    <xf numFmtId="2" fontId="5" fillId="3" borderId="20" xfId="0" applyNumberFormat="1" applyFont="1" applyFill="1" applyBorder="1"/>
    <xf numFmtId="164" fontId="5" fillId="3" borderId="41" xfId="0" applyNumberFormat="1" applyFont="1" applyFill="1" applyBorder="1"/>
    <xf numFmtId="179" fontId="3" fillId="3" borderId="8" xfId="0" applyNumberFormat="1" applyFont="1" applyFill="1" applyBorder="1" applyAlignment="1">
      <alignment horizontal="right"/>
    </xf>
    <xf numFmtId="0" fontId="0" fillId="8" borderId="7" xfId="0" applyFill="1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7" xfId="0" applyBorder="1" applyAlignment="1">
      <alignment horizontal="center"/>
    </xf>
    <xf numFmtId="0" fontId="1" fillId="0" borderId="0" xfId="0" applyFont="1" applyAlignment="1">
      <alignment horizontal="left"/>
    </xf>
    <xf numFmtId="0" fontId="4" fillId="2" borderId="26" xfId="0" applyFont="1" applyFill="1" applyBorder="1" applyAlignment="1">
      <alignment horizontal="center"/>
    </xf>
    <xf numFmtId="0" fontId="4" fillId="2" borderId="35" xfId="0" applyFont="1" applyFill="1" applyBorder="1" applyAlignment="1">
      <alignment horizontal="center"/>
    </xf>
    <xf numFmtId="0" fontId="4" fillId="2" borderId="16" xfId="0" applyFont="1" applyFill="1" applyBorder="1" applyAlignment="1">
      <alignment horizontal="center"/>
    </xf>
    <xf numFmtId="0" fontId="3" fillId="0" borderId="36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24" fillId="12" borderId="35" xfId="0" applyFont="1" applyFill="1" applyBorder="1" applyAlignment="1">
      <alignment horizontal="center"/>
    </xf>
    <xf numFmtId="0" fontId="24" fillId="12" borderId="60" xfId="0" applyFont="1" applyFill="1" applyBorder="1" applyAlignment="1">
      <alignment horizontal="center"/>
    </xf>
    <xf numFmtId="0" fontId="24" fillId="12" borderId="26" xfId="0" applyFont="1" applyFill="1" applyBorder="1" applyAlignment="1">
      <alignment horizontal="center"/>
    </xf>
    <xf numFmtId="0" fontId="24" fillId="12" borderId="16" xfId="0" applyFont="1" applyFill="1" applyBorder="1" applyAlignment="1">
      <alignment horizontal="center"/>
    </xf>
    <xf numFmtId="14" fontId="29" fillId="6" borderId="26" xfId="0" applyNumberFormat="1" applyFont="1" applyFill="1" applyBorder="1" applyAlignment="1">
      <alignment horizontal="left" vertical="center" wrapText="1"/>
    </xf>
    <xf numFmtId="14" fontId="29" fillId="6" borderId="35" xfId="0" applyNumberFormat="1" applyFont="1" applyFill="1" applyBorder="1" applyAlignment="1">
      <alignment horizontal="left" vertical="center" wrapText="1"/>
    </xf>
    <xf numFmtId="14" fontId="29" fillId="6" borderId="57" xfId="0" applyNumberFormat="1" applyFont="1" applyFill="1" applyBorder="1" applyAlignment="1">
      <alignment horizontal="left" vertical="center" wrapText="1"/>
    </xf>
    <xf numFmtId="14" fontId="29" fillId="6" borderId="55" xfId="0" applyNumberFormat="1" applyFont="1" applyFill="1" applyBorder="1" applyAlignment="1">
      <alignment horizontal="left" vertical="center" wrapText="1"/>
    </xf>
    <xf numFmtId="14" fontId="29" fillId="6" borderId="47" xfId="0" applyNumberFormat="1" applyFont="1" applyFill="1" applyBorder="1" applyAlignment="1">
      <alignment horizontal="left" vertical="center" wrapText="1"/>
    </xf>
    <xf numFmtId="14" fontId="29" fillId="6" borderId="43" xfId="0" applyNumberFormat="1" applyFont="1" applyFill="1" applyBorder="1" applyAlignment="1">
      <alignment horizontal="left" vertical="center" wrapText="1"/>
    </xf>
    <xf numFmtId="14" fontId="29" fillId="6" borderId="29" xfId="0" applyNumberFormat="1" applyFont="1" applyFill="1" applyBorder="1" applyAlignment="1">
      <alignment horizontal="left" vertical="center" wrapText="1"/>
    </xf>
    <xf numFmtId="0" fontId="5" fillId="3" borderId="58" xfId="0" applyFont="1" applyFill="1" applyBorder="1" applyAlignment="1">
      <alignment horizontal="center"/>
    </xf>
    <xf numFmtId="0" fontId="5" fillId="3" borderId="48" xfId="0" applyFont="1" applyFill="1" applyBorder="1" applyAlignment="1">
      <alignment horizontal="center"/>
    </xf>
    <xf numFmtId="0" fontId="5" fillId="3" borderId="46" xfId="0" applyFont="1" applyFill="1" applyBorder="1" applyAlignment="1">
      <alignment horizontal="center"/>
    </xf>
    <xf numFmtId="14" fontId="29" fillId="6" borderId="29" xfId="0" applyNumberFormat="1" applyFont="1" applyFill="1" applyBorder="1" applyAlignment="1">
      <alignment horizontal="center" vertical="center" wrapText="1"/>
    </xf>
    <xf numFmtId="14" fontId="29" fillId="6" borderId="47" xfId="0" applyNumberFormat="1" applyFont="1" applyFill="1" applyBorder="1" applyAlignment="1">
      <alignment horizontal="center" vertical="center" wrapText="1"/>
    </xf>
    <xf numFmtId="14" fontId="29" fillId="6" borderId="56" xfId="0" applyNumberFormat="1" applyFont="1" applyFill="1" applyBorder="1" applyAlignment="1">
      <alignment horizontal="center" vertical="center" wrapText="1"/>
    </xf>
    <xf numFmtId="14" fontId="29" fillId="6" borderId="55" xfId="0" applyNumberFormat="1" applyFont="1" applyFill="1" applyBorder="1" applyAlignment="1">
      <alignment horizontal="center" vertical="center" wrapText="1"/>
    </xf>
    <xf numFmtId="0" fontId="5" fillId="3" borderId="26" xfId="0" applyFont="1" applyFill="1" applyBorder="1" applyAlignment="1">
      <alignment horizontal="center"/>
    </xf>
    <xf numFmtId="0" fontId="5" fillId="3" borderId="35" xfId="0" applyFont="1" applyFill="1" applyBorder="1" applyAlignment="1">
      <alignment horizontal="center"/>
    </xf>
    <xf numFmtId="0" fontId="5" fillId="3" borderId="57" xfId="0" applyFont="1" applyFill="1" applyBorder="1" applyAlignment="1">
      <alignment horizontal="center"/>
    </xf>
    <xf numFmtId="14" fontId="29" fillId="6" borderId="52" xfId="0" applyNumberFormat="1" applyFont="1" applyFill="1" applyBorder="1" applyAlignment="1">
      <alignment horizontal="center" vertical="center" wrapText="1"/>
    </xf>
    <xf numFmtId="14" fontId="29" fillId="6" borderId="49" xfId="0" applyNumberFormat="1" applyFont="1" applyFill="1" applyBorder="1" applyAlignment="1">
      <alignment horizontal="center" vertical="center" wrapText="1"/>
    </xf>
    <xf numFmtId="14" fontId="29" fillId="6" borderId="2" xfId="0" applyNumberFormat="1" applyFont="1" applyFill="1" applyBorder="1" applyAlignment="1">
      <alignment horizontal="center" vertical="center" wrapText="1"/>
    </xf>
    <xf numFmtId="14" fontId="29" fillId="6" borderId="1" xfId="0" applyNumberFormat="1" applyFont="1" applyFill="1" applyBorder="1" applyAlignment="1">
      <alignment horizontal="center" vertical="center" wrapText="1"/>
    </xf>
    <xf numFmtId="14" fontId="29" fillId="6" borderId="37" xfId="0" applyNumberFormat="1" applyFont="1" applyFill="1" applyBorder="1" applyAlignment="1">
      <alignment horizontal="center" vertical="center" wrapText="1"/>
    </xf>
    <xf numFmtId="14" fontId="29" fillId="6" borderId="23" xfId="0" applyNumberFormat="1" applyFont="1" applyFill="1" applyBorder="1" applyAlignment="1">
      <alignment horizontal="center" vertical="center" wrapText="1"/>
    </xf>
    <xf numFmtId="14" fontId="29" fillId="6" borderId="53" xfId="0" applyNumberFormat="1" applyFont="1" applyFill="1" applyBorder="1" applyAlignment="1">
      <alignment horizontal="center" vertical="center" wrapText="1"/>
    </xf>
    <xf numFmtId="0" fontId="19" fillId="16" borderId="0" xfId="0" applyFont="1" applyFill="1" applyAlignment="1">
      <alignment horizontal="center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7054</xdr:colOff>
      <xdr:row>3</xdr:row>
      <xdr:rowOff>63501</xdr:rowOff>
    </xdr:from>
    <xdr:to>
      <xdr:col>7</xdr:col>
      <xdr:colOff>119943</xdr:colOff>
      <xdr:row>6</xdr:row>
      <xdr:rowOff>7056</xdr:rowOff>
    </xdr:to>
    <xdr:sp macro="" textlink="">
      <xdr:nvSpPr>
        <xdr:cNvPr id="26" name="Rectángulo redondeado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5753804" y="825501"/>
          <a:ext cx="970139" cy="502355"/>
        </a:xfrm>
        <a:prstGeom prst="roundRect">
          <a:avLst/>
        </a:prstGeom>
        <a:gradFill rotWithShape="1">
          <a:gsLst>
            <a:gs pos="0">
              <a:srgbClr val="4F81BD">
                <a:shade val="51000"/>
                <a:satMod val="130000"/>
              </a:srgbClr>
            </a:gs>
            <a:gs pos="80000">
              <a:srgbClr val="4F81BD">
                <a:shade val="93000"/>
                <a:satMod val="130000"/>
              </a:srgbClr>
            </a:gs>
            <a:gs pos="100000">
              <a:srgbClr val="4F81BD">
                <a:shade val="94000"/>
                <a:satMod val="135000"/>
              </a:srgbClr>
            </a:gs>
          </a:gsLst>
          <a:lin ang="16200000" scaled="0"/>
        </a:gradFill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A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70555</xdr:colOff>
      <xdr:row>3</xdr:row>
      <xdr:rowOff>98775</xdr:rowOff>
    </xdr:from>
    <xdr:to>
      <xdr:col>7</xdr:col>
      <xdr:colOff>134055</xdr:colOff>
      <xdr:row>5</xdr:row>
      <xdr:rowOff>176388</xdr:rowOff>
    </xdr:to>
    <xdr:sp macro="" textlink="">
      <xdr:nvSpPr>
        <xdr:cNvPr id="27" name="CuadroTexto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 txBox="1"/>
      </xdr:nvSpPr>
      <xdr:spPr>
        <a:xfrm>
          <a:off x="5817305" y="860775"/>
          <a:ext cx="920750" cy="45226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AR" sz="800" b="1" i="0" u="none" strike="noStrike" kern="0" cap="none" spc="0" normalizeH="0" baseline="0" noProof="0">
              <a:ln w="0"/>
              <a:solidFill>
                <a:sysClr val="window" lastClr="FFFFFF"/>
              </a:solidFill>
              <a:effectLst>
                <a:outerShdw blurRad="38100" dist="19050" dir="2700000" algn="tl" rotWithShape="0">
                  <a:sysClr val="windowText" lastClr="000000">
                    <a:alpha val="40000"/>
                  </a:sysClr>
                </a:outerShdw>
              </a:effectLst>
              <a:uLnTx/>
              <a:uFillTx/>
              <a:latin typeface="Calibri" panose="020F0502020204030204"/>
              <a:ea typeface="+mn-ea"/>
              <a:cs typeface="+mn-cs"/>
            </a:rPr>
            <a:t>Boton Banco UY</a:t>
          </a:r>
        </a:p>
      </xdr:txBody>
    </xdr:sp>
    <xdr:clientData/>
  </xdr:twoCellAnchor>
  <xdr:twoCellAnchor>
    <xdr:from>
      <xdr:col>6</xdr:col>
      <xdr:colOff>7056</xdr:colOff>
      <xdr:row>7</xdr:row>
      <xdr:rowOff>7056</xdr:rowOff>
    </xdr:from>
    <xdr:to>
      <xdr:col>7</xdr:col>
      <xdr:colOff>119945</xdr:colOff>
      <xdr:row>9</xdr:row>
      <xdr:rowOff>141111</xdr:rowOff>
    </xdr:to>
    <xdr:sp macro="" textlink="">
      <xdr:nvSpPr>
        <xdr:cNvPr id="28" name="Rectángulo redondeado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>
        <a:xfrm>
          <a:off x="5753806" y="1512006"/>
          <a:ext cx="970139" cy="502355"/>
        </a:xfrm>
        <a:prstGeom prst="roundRect">
          <a:avLst/>
        </a:prstGeom>
        <a:gradFill rotWithShape="1">
          <a:gsLst>
            <a:gs pos="0">
              <a:srgbClr val="4F81BD">
                <a:shade val="51000"/>
                <a:satMod val="130000"/>
              </a:srgbClr>
            </a:gs>
            <a:gs pos="80000">
              <a:srgbClr val="4F81BD">
                <a:shade val="93000"/>
                <a:satMod val="130000"/>
              </a:srgbClr>
            </a:gs>
            <a:gs pos="100000">
              <a:srgbClr val="4F81BD">
                <a:shade val="94000"/>
                <a:satMod val="135000"/>
              </a:srgbClr>
            </a:gs>
          </a:gsLst>
          <a:lin ang="16200000" scaled="0"/>
        </a:gradFill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A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5</xdr:col>
      <xdr:colOff>1066799</xdr:colOff>
      <xdr:row>11</xdr:row>
      <xdr:rowOff>7055</xdr:rowOff>
    </xdr:from>
    <xdr:to>
      <xdr:col>7</xdr:col>
      <xdr:colOff>105832</xdr:colOff>
      <xdr:row>13</xdr:row>
      <xdr:rowOff>141110</xdr:rowOff>
    </xdr:to>
    <xdr:sp macro="" textlink="">
      <xdr:nvSpPr>
        <xdr:cNvPr id="29" name="Rectángulo redondeado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5740399" y="2248605"/>
          <a:ext cx="969433" cy="502355"/>
        </a:xfrm>
        <a:prstGeom prst="roundRect">
          <a:avLst/>
        </a:prstGeom>
        <a:gradFill rotWithShape="1">
          <a:gsLst>
            <a:gs pos="0">
              <a:srgbClr val="4F81BD">
                <a:shade val="51000"/>
                <a:satMod val="130000"/>
              </a:srgbClr>
            </a:gs>
            <a:gs pos="80000">
              <a:srgbClr val="4F81BD">
                <a:shade val="93000"/>
                <a:satMod val="130000"/>
              </a:srgbClr>
            </a:gs>
            <a:gs pos="100000">
              <a:srgbClr val="4F81BD">
                <a:shade val="94000"/>
                <a:satMod val="135000"/>
              </a:srgbClr>
            </a:gs>
          </a:gsLst>
          <a:lin ang="16200000" scaled="0"/>
        </a:gradFill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A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0</xdr:colOff>
      <xdr:row>15</xdr:row>
      <xdr:rowOff>0</xdr:rowOff>
    </xdr:from>
    <xdr:to>
      <xdr:col>7</xdr:col>
      <xdr:colOff>112889</xdr:colOff>
      <xdr:row>17</xdr:row>
      <xdr:rowOff>134055</xdr:rowOff>
    </xdr:to>
    <xdr:sp macro="" textlink="">
      <xdr:nvSpPr>
        <xdr:cNvPr id="30" name="Rectángulo redondeado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>
        <a:xfrm>
          <a:off x="5746750" y="2978150"/>
          <a:ext cx="970139" cy="502355"/>
        </a:xfrm>
        <a:prstGeom prst="roundRect">
          <a:avLst/>
        </a:prstGeom>
        <a:gradFill rotWithShape="1">
          <a:gsLst>
            <a:gs pos="0">
              <a:srgbClr val="4F81BD">
                <a:shade val="51000"/>
                <a:satMod val="130000"/>
              </a:srgbClr>
            </a:gs>
            <a:gs pos="80000">
              <a:srgbClr val="4F81BD">
                <a:shade val="93000"/>
                <a:satMod val="130000"/>
              </a:srgbClr>
            </a:gs>
            <a:gs pos="100000">
              <a:srgbClr val="4F81BD">
                <a:shade val="94000"/>
                <a:satMod val="135000"/>
              </a:srgbClr>
            </a:gs>
          </a:gsLst>
          <a:lin ang="16200000" scaled="0"/>
        </a:gradFill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A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0</xdr:colOff>
      <xdr:row>19</xdr:row>
      <xdr:rowOff>0</xdr:rowOff>
    </xdr:from>
    <xdr:to>
      <xdr:col>7</xdr:col>
      <xdr:colOff>112889</xdr:colOff>
      <xdr:row>21</xdr:row>
      <xdr:rowOff>134055</xdr:rowOff>
    </xdr:to>
    <xdr:sp macro="" textlink="">
      <xdr:nvSpPr>
        <xdr:cNvPr id="31" name="Rectángulo redondeado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>
        <a:xfrm>
          <a:off x="5746750" y="3714750"/>
          <a:ext cx="970139" cy="502355"/>
        </a:xfrm>
        <a:prstGeom prst="roundRect">
          <a:avLst/>
        </a:prstGeom>
        <a:gradFill rotWithShape="1">
          <a:gsLst>
            <a:gs pos="0">
              <a:srgbClr val="4F81BD">
                <a:shade val="51000"/>
                <a:satMod val="130000"/>
              </a:srgbClr>
            </a:gs>
            <a:gs pos="80000">
              <a:srgbClr val="4F81BD">
                <a:shade val="93000"/>
                <a:satMod val="130000"/>
              </a:srgbClr>
            </a:gs>
            <a:gs pos="100000">
              <a:srgbClr val="4F81BD">
                <a:shade val="94000"/>
                <a:satMod val="135000"/>
              </a:srgbClr>
            </a:gs>
          </a:gsLst>
          <a:lin ang="16200000" scaled="0"/>
        </a:gradFill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A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0</xdr:colOff>
      <xdr:row>3</xdr:row>
      <xdr:rowOff>49388</xdr:rowOff>
    </xdr:from>
    <xdr:to>
      <xdr:col>9</xdr:col>
      <xdr:colOff>2117</xdr:colOff>
      <xdr:row>5</xdr:row>
      <xdr:rowOff>176388</xdr:rowOff>
    </xdr:to>
    <xdr:sp macro="" textlink="">
      <xdr:nvSpPr>
        <xdr:cNvPr id="32" name="Rectángulo redondeado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>
        <a:xfrm>
          <a:off x="7461250" y="811388"/>
          <a:ext cx="973667" cy="501650"/>
        </a:xfrm>
        <a:prstGeom prst="roundRect">
          <a:avLst/>
        </a:prstGeom>
        <a:gradFill rotWithShape="1">
          <a:gsLst>
            <a:gs pos="0">
              <a:srgbClr val="4F81BD">
                <a:shade val="51000"/>
                <a:satMod val="130000"/>
              </a:srgbClr>
            </a:gs>
            <a:gs pos="80000">
              <a:srgbClr val="4F81BD">
                <a:shade val="93000"/>
                <a:satMod val="130000"/>
              </a:srgbClr>
            </a:gs>
            <a:gs pos="100000">
              <a:srgbClr val="4F81BD">
                <a:shade val="94000"/>
                <a:satMod val="135000"/>
              </a:srgbClr>
            </a:gs>
          </a:gsLst>
          <a:lin ang="16200000" scaled="0"/>
        </a:gradFill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A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2117</xdr:colOff>
      <xdr:row>9</xdr:row>
      <xdr:rowOff>134055</xdr:rowOff>
    </xdr:to>
    <xdr:sp macro="" textlink="">
      <xdr:nvSpPr>
        <xdr:cNvPr id="33" name="Rectángulo redondeado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>
        <a:xfrm>
          <a:off x="7461250" y="1504950"/>
          <a:ext cx="973667" cy="502355"/>
        </a:xfrm>
        <a:prstGeom prst="roundRect">
          <a:avLst/>
        </a:prstGeom>
        <a:gradFill rotWithShape="1">
          <a:gsLst>
            <a:gs pos="0">
              <a:srgbClr val="4F81BD">
                <a:shade val="51000"/>
                <a:satMod val="130000"/>
              </a:srgbClr>
            </a:gs>
            <a:gs pos="80000">
              <a:srgbClr val="4F81BD">
                <a:shade val="93000"/>
                <a:satMod val="130000"/>
              </a:srgbClr>
            </a:gs>
            <a:gs pos="100000">
              <a:srgbClr val="4F81BD">
                <a:shade val="94000"/>
                <a:satMod val="135000"/>
              </a:srgbClr>
            </a:gs>
          </a:gsLst>
          <a:lin ang="16200000" scaled="0"/>
        </a:gradFill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A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2117</xdr:colOff>
      <xdr:row>13</xdr:row>
      <xdr:rowOff>134055</xdr:rowOff>
    </xdr:to>
    <xdr:sp macro="" textlink="">
      <xdr:nvSpPr>
        <xdr:cNvPr id="34" name="Rectángulo redondeado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>
        <a:xfrm>
          <a:off x="7461250" y="2241550"/>
          <a:ext cx="973667" cy="502355"/>
        </a:xfrm>
        <a:prstGeom prst="roundRect">
          <a:avLst/>
        </a:prstGeom>
        <a:gradFill rotWithShape="1">
          <a:gsLst>
            <a:gs pos="0">
              <a:srgbClr val="4F81BD">
                <a:shade val="51000"/>
                <a:satMod val="130000"/>
              </a:srgbClr>
            </a:gs>
            <a:gs pos="80000">
              <a:srgbClr val="4F81BD">
                <a:shade val="93000"/>
                <a:satMod val="130000"/>
              </a:srgbClr>
            </a:gs>
            <a:gs pos="100000">
              <a:srgbClr val="4F81BD">
                <a:shade val="94000"/>
                <a:satMod val="135000"/>
              </a:srgbClr>
            </a:gs>
          </a:gsLst>
          <a:lin ang="16200000" scaled="0"/>
        </a:gradFill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A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0</xdr:colOff>
      <xdr:row>15</xdr:row>
      <xdr:rowOff>0</xdr:rowOff>
    </xdr:from>
    <xdr:to>
      <xdr:col>9</xdr:col>
      <xdr:colOff>2117</xdr:colOff>
      <xdr:row>17</xdr:row>
      <xdr:rowOff>134055</xdr:rowOff>
    </xdr:to>
    <xdr:sp macro="" textlink="">
      <xdr:nvSpPr>
        <xdr:cNvPr id="35" name="Rectángulo redondeado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>
        <a:xfrm>
          <a:off x="7461250" y="2978150"/>
          <a:ext cx="973667" cy="502355"/>
        </a:xfrm>
        <a:prstGeom prst="roundRect">
          <a:avLst/>
        </a:prstGeom>
        <a:gradFill rotWithShape="1">
          <a:gsLst>
            <a:gs pos="0">
              <a:srgbClr val="4F81BD">
                <a:shade val="51000"/>
                <a:satMod val="130000"/>
              </a:srgbClr>
            </a:gs>
            <a:gs pos="80000">
              <a:srgbClr val="4F81BD">
                <a:shade val="93000"/>
                <a:satMod val="130000"/>
              </a:srgbClr>
            </a:gs>
            <a:gs pos="100000">
              <a:srgbClr val="4F81BD">
                <a:shade val="94000"/>
                <a:satMod val="135000"/>
              </a:srgbClr>
            </a:gs>
          </a:gsLst>
          <a:lin ang="16200000" scaled="0"/>
        </a:gradFill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A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0</xdr:colOff>
      <xdr:row>19</xdr:row>
      <xdr:rowOff>0</xdr:rowOff>
    </xdr:from>
    <xdr:to>
      <xdr:col>9</xdr:col>
      <xdr:colOff>2117</xdr:colOff>
      <xdr:row>21</xdr:row>
      <xdr:rowOff>134055</xdr:rowOff>
    </xdr:to>
    <xdr:sp macro="" textlink="">
      <xdr:nvSpPr>
        <xdr:cNvPr id="36" name="Rectángulo redondeado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>
        <a:xfrm>
          <a:off x="7461250" y="3714750"/>
          <a:ext cx="973667" cy="502355"/>
        </a:xfrm>
        <a:prstGeom prst="roundRect">
          <a:avLst/>
        </a:prstGeom>
        <a:gradFill rotWithShape="1">
          <a:gsLst>
            <a:gs pos="0">
              <a:srgbClr val="4F81BD">
                <a:shade val="51000"/>
                <a:satMod val="130000"/>
              </a:srgbClr>
            </a:gs>
            <a:gs pos="80000">
              <a:srgbClr val="4F81BD">
                <a:shade val="93000"/>
                <a:satMod val="130000"/>
              </a:srgbClr>
            </a:gs>
            <a:gs pos="100000">
              <a:srgbClr val="4F81BD">
                <a:shade val="94000"/>
                <a:satMod val="135000"/>
              </a:srgbClr>
            </a:gs>
          </a:gsLst>
          <a:lin ang="16200000" scaled="0"/>
        </a:gradFill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A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63501</xdr:colOff>
      <xdr:row>7</xdr:row>
      <xdr:rowOff>21167</xdr:rowOff>
    </xdr:from>
    <xdr:to>
      <xdr:col>7</xdr:col>
      <xdr:colOff>70557</xdr:colOff>
      <xdr:row>9</xdr:row>
      <xdr:rowOff>105835</xdr:rowOff>
    </xdr:to>
    <xdr:sp macro="" textlink="">
      <xdr:nvSpPr>
        <xdr:cNvPr id="37" name="CuadroTexto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 txBox="1"/>
      </xdr:nvSpPr>
      <xdr:spPr>
        <a:xfrm>
          <a:off x="5810251" y="1526117"/>
          <a:ext cx="864306" cy="45296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AR" sz="800" b="1" i="0" u="none" strike="noStrike" kern="0" cap="none" spc="0" normalizeH="0" baseline="0" noProof="0">
              <a:ln w="0"/>
              <a:solidFill>
                <a:sysClr val="window" lastClr="FFFFFF"/>
              </a:solidFill>
              <a:effectLst>
                <a:outerShdw blurRad="38100" dist="19050" dir="2700000" algn="tl" rotWithShape="0">
                  <a:sysClr val="windowText" lastClr="000000">
                    <a:alpha val="40000"/>
                  </a:sysClr>
                </a:outerShdw>
              </a:effectLst>
              <a:uLnTx/>
              <a:uFillTx/>
              <a:latin typeface="Calibri" panose="020F0502020204030204"/>
              <a:ea typeface="+mn-ea"/>
              <a:cs typeface="+mn-cs"/>
            </a:rPr>
            <a:t>Boton Banco CL</a:t>
          </a:r>
        </a:p>
      </xdr:txBody>
    </xdr:sp>
    <xdr:clientData/>
  </xdr:twoCellAnchor>
  <xdr:twoCellAnchor>
    <xdr:from>
      <xdr:col>6</xdr:col>
      <xdr:colOff>28222</xdr:colOff>
      <xdr:row>11</xdr:row>
      <xdr:rowOff>21166</xdr:rowOff>
    </xdr:from>
    <xdr:to>
      <xdr:col>7</xdr:col>
      <xdr:colOff>112888</xdr:colOff>
      <xdr:row>13</xdr:row>
      <xdr:rowOff>105834</xdr:rowOff>
    </xdr:to>
    <xdr:sp macro="" textlink="">
      <xdr:nvSpPr>
        <xdr:cNvPr id="38" name="CuadroTexto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 txBox="1"/>
      </xdr:nvSpPr>
      <xdr:spPr>
        <a:xfrm>
          <a:off x="5774972" y="2262716"/>
          <a:ext cx="941916" cy="45296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AR" sz="800" b="1" i="0" u="none" strike="noStrike" kern="0" cap="none" spc="0" normalizeH="0" baseline="0" noProof="0">
              <a:ln w="0"/>
              <a:solidFill>
                <a:sysClr val="window" lastClr="FFFFFF"/>
              </a:solidFill>
              <a:effectLst>
                <a:outerShdw blurRad="38100" dist="19050" dir="2700000" algn="tl" rotWithShape="0">
                  <a:sysClr val="windowText" lastClr="000000">
                    <a:alpha val="40000"/>
                  </a:sysClr>
                </a:outerShdw>
              </a:effectLst>
              <a:uLnTx/>
              <a:uFillTx/>
              <a:latin typeface="Calibri" panose="020F0502020204030204"/>
              <a:ea typeface="+mn-ea"/>
              <a:cs typeface="+mn-cs"/>
            </a:rPr>
            <a:t>Boton Banco PE</a:t>
          </a:r>
        </a:p>
      </xdr:txBody>
    </xdr:sp>
    <xdr:clientData/>
  </xdr:twoCellAnchor>
  <xdr:twoCellAnchor>
    <xdr:from>
      <xdr:col>6</xdr:col>
      <xdr:colOff>0</xdr:colOff>
      <xdr:row>15</xdr:row>
      <xdr:rowOff>0</xdr:rowOff>
    </xdr:from>
    <xdr:to>
      <xdr:col>7</xdr:col>
      <xdr:colOff>91722</xdr:colOff>
      <xdr:row>17</xdr:row>
      <xdr:rowOff>84668</xdr:rowOff>
    </xdr:to>
    <xdr:sp macro="" textlink="">
      <xdr:nvSpPr>
        <xdr:cNvPr id="39" name="CuadroTexto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 txBox="1"/>
      </xdr:nvSpPr>
      <xdr:spPr>
        <a:xfrm>
          <a:off x="5746750" y="2978150"/>
          <a:ext cx="948972" cy="45296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AR" sz="800" b="1" i="0" u="none" strike="noStrike" kern="0" cap="none" spc="0" normalizeH="0" baseline="0" noProof="0">
              <a:ln w="0"/>
              <a:solidFill>
                <a:sysClr val="window" lastClr="FFFFFF"/>
              </a:solidFill>
              <a:effectLst>
                <a:outerShdw blurRad="38100" dist="19050" dir="2700000" algn="tl" rotWithShape="0">
                  <a:sysClr val="windowText" lastClr="000000">
                    <a:alpha val="40000"/>
                  </a:sysClr>
                </a:outerShdw>
              </a:effectLst>
              <a:uLnTx/>
              <a:uFillTx/>
              <a:latin typeface="Calibri" panose="020F0502020204030204"/>
              <a:ea typeface="+mn-ea"/>
              <a:cs typeface="+mn-cs"/>
            </a:rPr>
            <a:t>Boton Banco CO</a:t>
          </a:r>
        </a:p>
      </xdr:txBody>
    </xdr:sp>
    <xdr:clientData/>
  </xdr:twoCellAnchor>
  <xdr:twoCellAnchor>
    <xdr:from>
      <xdr:col>6</xdr:col>
      <xdr:colOff>42334</xdr:colOff>
      <xdr:row>19</xdr:row>
      <xdr:rowOff>42334</xdr:rowOff>
    </xdr:from>
    <xdr:to>
      <xdr:col>7</xdr:col>
      <xdr:colOff>148167</xdr:colOff>
      <xdr:row>20</xdr:row>
      <xdr:rowOff>176390</xdr:rowOff>
    </xdr:to>
    <xdr:sp macro="" textlink="">
      <xdr:nvSpPr>
        <xdr:cNvPr id="40" name="CuadroTexto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 txBox="1"/>
      </xdr:nvSpPr>
      <xdr:spPr>
        <a:xfrm>
          <a:off x="5789084" y="3757084"/>
          <a:ext cx="963083" cy="31820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AR" sz="800" b="1" i="0" u="none" strike="noStrike" kern="0" cap="none" spc="0" normalizeH="0" baseline="0" noProof="0">
              <a:ln w="0"/>
              <a:solidFill>
                <a:sysClr val="window" lastClr="FFFFFF"/>
              </a:solidFill>
              <a:effectLst>
                <a:outerShdw blurRad="38100" dist="19050" dir="2700000" algn="tl" rotWithShape="0">
                  <a:sysClr val="windowText" lastClr="000000">
                    <a:alpha val="40000"/>
                  </a:sysClr>
                </a:outerShdw>
              </a:effectLst>
              <a:uLnTx/>
              <a:uFillTx/>
              <a:latin typeface="Calibri" panose="020F0502020204030204"/>
              <a:ea typeface="+mn-ea"/>
              <a:cs typeface="+mn-cs"/>
            </a:rPr>
            <a:t>Boton Banco CR	</a:t>
          </a:r>
        </a:p>
      </xdr:txBody>
    </xdr:sp>
    <xdr:clientData/>
  </xdr:twoCellAnchor>
  <xdr:twoCellAnchor>
    <xdr:from>
      <xdr:col>8</xdr:col>
      <xdr:colOff>35277</xdr:colOff>
      <xdr:row>3</xdr:row>
      <xdr:rowOff>63500</xdr:rowOff>
    </xdr:from>
    <xdr:to>
      <xdr:col>8</xdr:col>
      <xdr:colOff>761294</xdr:colOff>
      <xdr:row>5</xdr:row>
      <xdr:rowOff>141113</xdr:rowOff>
    </xdr:to>
    <xdr:sp macro="" textlink="">
      <xdr:nvSpPr>
        <xdr:cNvPr id="41" name="CuadroTexto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 txBox="1"/>
      </xdr:nvSpPr>
      <xdr:spPr>
        <a:xfrm>
          <a:off x="7496527" y="825500"/>
          <a:ext cx="910167" cy="45226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AR" sz="800" b="1" i="0" u="none" strike="noStrike" kern="0" cap="none" spc="0" normalizeH="0" baseline="0" noProof="0">
              <a:ln w="0"/>
              <a:solidFill>
                <a:sysClr val="window" lastClr="FFFFFF"/>
              </a:solidFill>
              <a:effectLst>
                <a:outerShdw blurRad="38100" dist="19050" dir="2700000" algn="tl" rotWithShape="0">
                  <a:sysClr val="windowText" lastClr="000000">
                    <a:alpha val="40000"/>
                  </a:sysClr>
                </a:outerShdw>
              </a:effectLst>
              <a:uLnTx/>
              <a:uFillTx/>
              <a:latin typeface="Calibri" panose="020F0502020204030204"/>
              <a:ea typeface="+mn-ea"/>
              <a:cs typeface="+mn-cs"/>
            </a:rPr>
            <a:t>Boton Banco AR</a:t>
          </a:r>
        </a:p>
      </xdr:txBody>
    </xdr:sp>
    <xdr:clientData/>
  </xdr:twoCellAnchor>
  <xdr:twoCellAnchor>
    <xdr:from>
      <xdr:col>8</xdr:col>
      <xdr:colOff>70555</xdr:colOff>
      <xdr:row>7</xdr:row>
      <xdr:rowOff>0</xdr:rowOff>
    </xdr:from>
    <xdr:to>
      <xdr:col>9</xdr:col>
      <xdr:colOff>2116</xdr:colOff>
      <xdr:row>9</xdr:row>
      <xdr:rowOff>84668</xdr:rowOff>
    </xdr:to>
    <xdr:sp macro="" textlink="">
      <xdr:nvSpPr>
        <xdr:cNvPr id="42" name="CuadroTexto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 txBox="1"/>
      </xdr:nvSpPr>
      <xdr:spPr>
        <a:xfrm>
          <a:off x="7531805" y="1504950"/>
          <a:ext cx="839611" cy="45296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AR" sz="800" b="1" i="0" u="none" strike="noStrike" kern="0" cap="none" spc="0" normalizeH="0" baseline="0" noProof="0">
              <a:ln w="0"/>
              <a:solidFill>
                <a:sysClr val="window" lastClr="FFFFFF"/>
              </a:solidFill>
              <a:effectLst>
                <a:outerShdw blurRad="38100" dist="19050" dir="2700000" algn="tl" rotWithShape="0">
                  <a:sysClr val="windowText" lastClr="000000">
                    <a:alpha val="40000"/>
                  </a:sysClr>
                </a:outerShdw>
              </a:effectLst>
              <a:uLnTx/>
              <a:uFillTx/>
              <a:latin typeface="Calibri" panose="020F0502020204030204"/>
              <a:ea typeface="+mn-ea"/>
              <a:cs typeface="+mn-cs"/>
            </a:rPr>
            <a:t>Boton OANDA</a:t>
          </a:r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706</xdr:colOff>
      <xdr:row>13</xdr:row>
      <xdr:rowOff>84668</xdr:rowOff>
    </xdr:to>
    <xdr:sp macro="" textlink="">
      <xdr:nvSpPr>
        <xdr:cNvPr id="43" name="CuadroTexto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 txBox="1"/>
      </xdr:nvSpPr>
      <xdr:spPr>
        <a:xfrm>
          <a:off x="7461250" y="2241550"/>
          <a:ext cx="959556" cy="45296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AR" sz="800" b="1" i="0" u="none" strike="noStrike" kern="0" cap="none" spc="0" normalizeH="0" baseline="0" noProof="0">
              <a:ln w="0"/>
              <a:solidFill>
                <a:sysClr val="window" lastClr="FFFFFF"/>
              </a:solidFill>
              <a:effectLst>
                <a:outerShdw blurRad="38100" dist="19050" dir="2700000" algn="tl" rotWithShape="0">
                  <a:sysClr val="windowText" lastClr="000000">
                    <a:alpha val="40000"/>
                  </a:sysClr>
                </a:outerShdw>
              </a:effectLst>
              <a:uLnTx/>
              <a:uFillTx/>
              <a:latin typeface="Calibri" panose="020F0502020204030204"/>
              <a:ea typeface="+mn-ea"/>
              <a:cs typeface="+mn-cs"/>
            </a:rPr>
            <a:t>Boton Banco HN</a:t>
          </a:r>
        </a:p>
      </xdr:txBody>
    </xdr:sp>
    <xdr:clientData/>
  </xdr:twoCellAnchor>
  <xdr:twoCellAnchor>
    <xdr:from>
      <xdr:col>8</xdr:col>
      <xdr:colOff>21166</xdr:colOff>
      <xdr:row>15</xdr:row>
      <xdr:rowOff>14111</xdr:rowOff>
    </xdr:from>
    <xdr:to>
      <xdr:col>9</xdr:col>
      <xdr:colOff>0</xdr:colOff>
      <xdr:row>17</xdr:row>
      <xdr:rowOff>98779</xdr:rowOff>
    </xdr:to>
    <xdr:sp macro="" textlink="">
      <xdr:nvSpPr>
        <xdr:cNvPr id="44" name="CuadroTexto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7482416" y="2992261"/>
          <a:ext cx="931334" cy="45296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AR" sz="800" b="1" i="0" u="none" strike="noStrike" kern="0" cap="none" spc="0" normalizeH="0" baseline="0" noProof="0">
              <a:ln w="0"/>
              <a:solidFill>
                <a:sysClr val="window" lastClr="FFFFFF"/>
              </a:solidFill>
              <a:effectLst>
                <a:outerShdw blurRad="38100" dist="19050" dir="2700000" algn="tl" rotWithShape="0">
                  <a:sysClr val="windowText" lastClr="000000">
                    <a:alpha val="40000"/>
                  </a:sysClr>
                </a:outerShdw>
              </a:effectLst>
              <a:uLnTx/>
              <a:uFillTx/>
              <a:latin typeface="Calibri" panose="020F0502020204030204"/>
              <a:ea typeface="+mn-ea"/>
              <a:cs typeface="+mn-cs"/>
            </a:rPr>
            <a:t>Boton Banco TT</a:t>
          </a:r>
        </a:p>
      </xdr:txBody>
    </xdr:sp>
    <xdr:clientData/>
  </xdr:twoCellAnchor>
  <xdr:twoCellAnchor>
    <xdr:from>
      <xdr:col>8</xdr:col>
      <xdr:colOff>0</xdr:colOff>
      <xdr:row>19</xdr:row>
      <xdr:rowOff>0</xdr:rowOff>
    </xdr:from>
    <xdr:to>
      <xdr:col>9</xdr:col>
      <xdr:colOff>2117</xdr:colOff>
      <xdr:row>21</xdr:row>
      <xdr:rowOff>84668</xdr:rowOff>
    </xdr:to>
    <xdr:sp macro="" textlink="">
      <xdr:nvSpPr>
        <xdr:cNvPr id="45" name="CuadroTexto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7461250" y="3714750"/>
          <a:ext cx="973667" cy="45296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AR" sz="800" b="1" i="0" u="none" strike="noStrike" kern="0" cap="none" spc="0" normalizeH="0" baseline="0" noProof="0">
              <a:ln w="0"/>
              <a:solidFill>
                <a:sysClr val="window" lastClr="FFFFFF"/>
              </a:solidFill>
              <a:effectLst>
                <a:outerShdw blurRad="38100" dist="19050" dir="2700000" algn="tl" rotWithShape="0">
                  <a:sysClr val="windowText" lastClr="000000">
                    <a:alpha val="40000"/>
                  </a:sysClr>
                </a:outerShdw>
              </a:effectLst>
              <a:uLnTx/>
              <a:uFillTx/>
              <a:latin typeface="Calibri" panose="020F0502020204030204"/>
              <a:ea typeface="+mn-ea"/>
              <a:cs typeface="+mn-cs"/>
            </a:rPr>
            <a:t>Boton Banco BO</a:t>
          </a:r>
        </a:p>
      </xdr:txBody>
    </xdr:sp>
    <xdr:clientData/>
  </xdr:twoCellAnchor>
  <xdr:twoCellAnchor>
    <xdr:from>
      <xdr:col>9</xdr:col>
      <xdr:colOff>704850</xdr:colOff>
      <xdr:row>7</xdr:row>
      <xdr:rowOff>22578</xdr:rowOff>
    </xdr:from>
    <xdr:to>
      <xdr:col>11</xdr:col>
      <xdr:colOff>154517</xdr:colOff>
      <xdr:row>9</xdr:row>
      <xdr:rowOff>155928</xdr:rowOff>
    </xdr:to>
    <xdr:sp macro="" textlink="">
      <xdr:nvSpPr>
        <xdr:cNvPr id="46" name="Rectángulo redondeado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/>
      </xdr:nvSpPr>
      <xdr:spPr>
        <a:xfrm>
          <a:off x="9150350" y="1527528"/>
          <a:ext cx="973667" cy="501650"/>
        </a:xfrm>
        <a:prstGeom prst="roundRect">
          <a:avLst/>
        </a:prstGeom>
        <a:gradFill rotWithShape="1">
          <a:gsLst>
            <a:gs pos="0">
              <a:srgbClr val="4F81BD">
                <a:shade val="51000"/>
                <a:satMod val="130000"/>
              </a:srgbClr>
            </a:gs>
            <a:gs pos="80000">
              <a:srgbClr val="4F81BD">
                <a:shade val="93000"/>
                <a:satMod val="130000"/>
              </a:srgbClr>
            </a:gs>
            <a:gs pos="100000">
              <a:srgbClr val="4F81BD">
                <a:shade val="94000"/>
                <a:satMod val="135000"/>
              </a:srgbClr>
            </a:gs>
          </a:gsLst>
          <a:lin ang="16200000" scaled="0"/>
        </a:gradFill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A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749300</xdr:colOff>
      <xdr:row>7</xdr:row>
      <xdr:rowOff>54328</xdr:rowOff>
    </xdr:from>
    <xdr:to>
      <xdr:col>11</xdr:col>
      <xdr:colOff>198967</xdr:colOff>
      <xdr:row>9</xdr:row>
      <xdr:rowOff>138291</xdr:rowOff>
    </xdr:to>
    <xdr:sp macro="" textlink="">
      <xdr:nvSpPr>
        <xdr:cNvPr id="47" name="CuadroTexto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 txBox="1"/>
      </xdr:nvSpPr>
      <xdr:spPr>
        <a:xfrm>
          <a:off x="9194800" y="1559278"/>
          <a:ext cx="973667" cy="45226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AR" sz="800" b="1" i="0" u="none" strike="noStrike" kern="0" cap="none" spc="0" normalizeH="0" baseline="0" noProof="0">
              <a:ln w="0"/>
              <a:solidFill>
                <a:sysClr val="window" lastClr="FFFFFF"/>
              </a:solidFill>
              <a:effectLst>
                <a:outerShdw blurRad="38100" dist="19050" dir="2700000" algn="tl" rotWithShape="0">
                  <a:sysClr val="windowText" lastClr="000000">
                    <a:alpha val="40000"/>
                  </a:sysClr>
                </a:outerShdw>
              </a:effectLst>
              <a:uLnTx/>
              <a:uFillTx/>
              <a:latin typeface="Calibri" panose="020F0502020204030204"/>
              <a:ea typeface="+mn-ea"/>
              <a:cs typeface="+mn-cs"/>
            </a:rPr>
            <a:t>Boton Banco NI</a:t>
          </a:r>
        </a:p>
      </xdr:txBody>
    </xdr:sp>
    <xdr:clientData/>
  </xdr:twoCellAnchor>
  <xdr:twoCellAnchor>
    <xdr:from>
      <xdr:col>9</xdr:col>
      <xdr:colOff>749300</xdr:colOff>
      <xdr:row>10</xdr:row>
      <xdr:rowOff>171450</xdr:rowOff>
    </xdr:from>
    <xdr:to>
      <xdr:col>11</xdr:col>
      <xdr:colOff>198967</xdr:colOff>
      <xdr:row>13</xdr:row>
      <xdr:rowOff>121355</xdr:rowOff>
    </xdr:to>
    <xdr:sp macro="" textlink="">
      <xdr:nvSpPr>
        <xdr:cNvPr id="48" name="Rectángulo redondeado 47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/>
      </xdr:nvSpPr>
      <xdr:spPr>
        <a:xfrm>
          <a:off x="9194800" y="2228850"/>
          <a:ext cx="973667" cy="502355"/>
        </a:xfrm>
        <a:prstGeom prst="roundRect">
          <a:avLst/>
        </a:prstGeom>
        <a:gradFill rotWithShape="1">
          <a:gsLst>
            <a:gs pos="0">
              <a:srgbClr val="4F81BD">
                <a:shade val="51000"/>
                <a:satMod val="130000"/>
              </a:srgbClr>
            </a:gs>
            <a:gs pos="80000">
              <a:srgbClr val="4F81BD">
                <a:shade val="93000"/>
                <a:satMod val="130000"/>
              </a:srgbClr>
            </a:gs>
            <a:gs pos="100000">
              <a:srgbClr val="4F81BD">
                <a:shade val="94000"/>
                <a:satMod val="135000"/>
              </a:srgbClr>
            </a:gs>
          </a:gsLst>
          <a:lin ang="16200000" scaled="0"/>
        </a:gradFill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A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7761</xdr:colOff>
      <xdr:row>11</xdr:row>
      <xdr:rowOff>33162</xdr:rowOff>
    </xdr:from>
    <xdr:to>
      <xdr:col>11</xdr:col>
      <xdr:colOff>219428</xdr:colOff>
      <xdr:row>13</xdr:row>
      <xdr:rowOff>117830</xdr:rowOff>
    </xdr:to>
    <xdr:sp macro="" textlink="">
      <xdr:nvSpPr>
        <xdr:cNvPr id="49" name="CuadroTexto 4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 txBox="1"/>
      </xdr:nvSpPr>
      <xdr:spPr>
        <a:xfrm>
          <a:off x="9215261" y="2274712"/>
          <a:ext cx="973667" cy="45296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AR" sz="800" b="1" i="0" u="none" strike="noStrike" kern="0" cap="none" spc="0" normalizeH="0" baseline="0" noProof="0">
              <a:ln w="0"/>
              <a:solidFill>
                <a:sysClr val="window" lastClr="FFFFFF"/>
              </a:solidFill>
              <a:effectLst>
                <a:outerShdw blurRad="38100" dist="19050" dir="2700000" algn="tl" rotWithShape="0">
                  <a:sysClr val="windowText" lastClr="000000">
                    <a:alpha val="40000"/>
                  </a:sysClr>
                </a:outerShdw>
              </a:effectLst>
              <a:uLnTx/>
              <a:uFillTx/>
              <a:latin typeface="Calibri" panose="020F0502020204030204"/>
              <a:ea typeface="+mn-ea"/>
              <a:cs typeface="+mn-cs"/>
            </a:rPr>
            <a:t>Boton Banco GT Viernes</a:t>
          </a:r>
        </a:p>
      </xdr:txBody>
    </xdr:sp>
    <xdr:clientData/>
  </xdr:twoCellAnchor>
  <xdr:twoCellAnchor>
    <xdr:from>
      <xdr:col>9</xdr:col>
      <xdr:colOff>685800</xdr:colOff>
      <xdr:row>3</xdr:row>
      <xdr:rowOff>63500</xdr:rowOff>
    </xdr:from>
    <xdr:to>
      <xdr:col>11</xdr:col>
      <xdr:colOff>148167</xdr:colOff>
      <xdr:row>6</xdr:row>
      <xdr:rowOff>7055</xdr:rowOff>
    </xdr:to>
    <xdr:sp macro="" textlink="">
      <xdr:nvSpPr>
        <xdr:cNvPr id="50" name="Rectángulo redondeado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/>
      </xdr:nvSpPr>
      <xdr:spPr>
        <a:xfrm>
          <a:off x="9131300" y="825500"/>
          <a:ext cx="986367" cy="502355"/>
        </a:xfrm>
        <a:prstGeom prst="roundRect">
          <a:avLst/>
        </a:prstGeom>
        <a:gradFill rotWithShape="1">
          <a:gsLst>
            <a:gs pos="0">
              <a:srgbClr val="4F81BD">
                <a:shade val="51000"/>
                <a:satMod val="130000"/>
              </a:srgbClr>
            </a:gs>
            <a:gs pos="80000">
              <a:srgbClr val="4F81BD">
                <a:shade val="93000"/>
                <a:satMod val="130000"/>
              </a:srgbClr>
            </a:gs>
            <a:gs pos="100000">
              <a:srgbClr val="4F81BD">
                <a:shade val="94000"/>
                <a:satMod val="135000"/>
              </a:srgbClr>
            </a:gs>
          </a:gsLst>
          <a:lin ang="16200000" scaled="0"/>
        </a:gradFill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A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730250</xdr:colOff>
      <xdr:row>3</xdr:row>
      <xdr:rowOff>82550</xdr:rowOff>
    </xdr:from>
    <xdr:to>
      <xdr:col>11</xdr:col>
      <xdr:colOff>122061</xdr:colOff>
      <xdr:row>5</xdr:row>
      <xdr:rowOff>160868</xdr:rowOff>
    </xdr:to>
    <xdr:sp macro="" textlink="">
      <xdr:nvSpPr>
        <xdr:cNvPr id="51" name="CuadroTexto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 txBox="1"/>
      </xdr:nvSpPr>
      <xdr:spPr>
        <a:xfrm>
          <a:off x="9175750" y="844550"/>
          <a:ext cx="915811" cy="45296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AR" sz="800" b="1" i="0" u="none" strike="noStrike" kern="0" cap="none" spc="0" normalizeH="0" baseline="0" noProof="0">
              <a:ln w="0"/>
              <a:solidFill>
                <a:sysClr val="window" lastClr="FFFFFF"/>
              </a:solidFill>
              <a:effectLst>
                <a:outerShdw blurRad="38100" dist="19050" dir="2700000" algn="tl" rotWithShape="0">
                  <a:sysClr val="windowText" lastClr="000000">
                    <a:alpha val="40000"/>
                  </a:sysClr>
                </a:outerShdw>
              </a:effectLst>
              <a:uLnTx/>
              <a:uFillTx/>
              <a:latin typeface="Calibri" panose="020F0502020204030204"/>
              <a:ea typeface="+mn-ea"/>
              <a:cs typeface="+mn-cs"/>
            </a:rPr>
            <a:t>Boton OANDA CHILE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190500</xdr:colOff>
          <xdr:row>0</xdr:row>
          <xdr:rowOff>152400</xdr:rowOff>
        </xdr:from>
        <xdr:to>
          <xdr:col>7</xdr:col>
          <xdr:colOff>314325</xdr:colOff>
          <xdr:row>3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Datos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752475</xdr:colOff>
          <xdr:row>43</xdr:row>
          <xdr:rowOff>19050</xdr:rowOff>
        </xdr:from>
        <xdr:to>
          <xdr:col>19</xdr:col>
          <xdr:colOff>0</xdr:colOff>
          <xdr:row>44</xdr:row>
          <xdr:rowOff>28575</xdr:rowOff>
        </xdr:to>
        <xdr:pic>
          <xdr:nvPicPr>
            <xdr:cNvPr id="2" name="Imagen 1">
              <a:extLst>
                <a:ext uri="{FF2B5EF4-FFF2-40B4-BE49-F238E27FC236}">
                  <a16:creationId xmlns:a16="http://schemas.microsoft.com/office/drawing/2014/main" id="{00000000-0008-0000-06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U$44" spid="_x0000_s577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6925925" y="8210550"/>
              <a:ext cx="771525" cy="20002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ExchangeRat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change Rate Process"/>
      <sheetName val="BANCOS"/>
      <sheetName val="USUARIOS"/>
      <sheetName val="Paises "/>
      <sheetName val="UPDATE SCHEDULE "/>
      <sheetName val="Calendario"/>
      <sheetName val="Feriados"/>
      <sheetName val="Argentina"/>
      <sheetName val="Colombia"/>
      <sheetName val="Honduras"/>
      <sheetName val="Costa Rica"/>
      <sheetName val="Chile"/>
      <sheetName val="Peru"/>
      <sheetName val="Uruguay"/>
      <sheetName val="Ecuador"/>
      <sheetName val="Guatemala"/>
      <sheetName val="SALOG"/>
      <sheetName val="ACO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28">
          <cell r="F28">
            <v>150.75</v>
          </cell>
        </row>
        <row r="29">
          <cell r="F29">
            <v>145</v>
          </cell>
        </row>
      </sheetData>
      <sheetData sheetId="8">
        <row r="42">
          <cell r="F42">
            <v>4657.83</v>
          </cell>
        </row>
        <row r="43">
          <cell r="F43">
            <v>4636.83</v>
          </cell>
        </row>
      </sheetData>
      <sheetData sheetId="9">
        <row r="33">
          <cell r="F33">
            <v>24.802399999999999</v>
          </cell>
        </row>
      </sheetData>
      <sheetData sheetId="10">
        <row r="25">
          <cell r="F25">
            <v>630.25</v>
          </cell>
        </row>
      </sheetData>
      <sheetData sheetId="11">
        <row r="29">
          <cell r="F29">
            <v>924.47</v>
          </cell>
        </row>
        <row r="30">
          <cell r="F30">
            <v>950.72</v>
          </cell>
        </row>
      </sheetData>
      <sheetData sheetId="12">
        <row r="24">
          <cell r="F24">
            <v>4.0030000000000001</v>
          </cell>
        </row>
      </sheetData>
      <sheetData sheetId="13">
        <row r="25">
          <cell r="F25">
            <v>41.203000000000003</v>
          </cell>
        </row>
      </sheetData>
      <sheetData sheetId="14"/>
      <sheetData sheetId="15">
        <row r="25">
          <cell r="F25">
            <v>7.73</v>
          </cell>
        </row>
      </sheetData>
      <sheetData sheetId="16"/>
      <sheetData sheetId="17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goo.gl/9tK6Zt" TargetMode="External"/><Relationship Id="rId13" Type="http://schemas.openxmlformats.org/officeDocument/2006/relationships/hyperlink" Target="https://www1.sucursalelectronica.com/redir/showLogin.go" TargetMode="External"/><Relationship Id="rId18" Type="http://schemas.openxmlformats.org/officeDocument/2006/relationships/hyperlink" Target="http://www.sbs.gob.pe/" TargetMode="External"/><Relationship Id="rId3" Type="http://schemas.openxmlformats.org/officeDocument/2006/relationships/hyperlink" Target="https://www.oanda.com/currency/converter/" TargetMode="External"/><Relationship Id="rId21" Type="http://schemas.openxmlformats.org/officeDocument/2006/relationships/hyperlink" Target="https://wiki.int.kn/display/regionsa/Current+Month+Daily+Exchange+Rates+-+Uruguay" TargetMode="External"/><Relationship Id="rId7" Type="http://schemas.openxmlformats.org/officeDocument/2006/relationships/hyperlink" Target="https://www1.oanda.com/lang/es/" TargetMode="External"/><Relationship Id="rId12" Type="http://schemas.openxmlformats.org/officeDocument/2006/relationships/hyperlink" Target="https://www.bcb.gob.bo/?q=cotizaciones_tc" TargetMode="External"/><Relationship Id="rId17" Type="http://schemas.openxmlformats.org/officeDocument/2006/relationships/hyperlink" Target="http://www.banrep.gov.co/es/trm" TargetMode="External"/><Relationship Id="rId2" Type="http://schemas.openxmlformats.org/officeDocument/2006/relationships/hyperlink" Target="http://www.ficohsa.com/hn/honduras/tipo-cambio/" TargetMode="External"/><Relationship Id="rId16" Type="http://schemas.openxmlformats.org/officeDocument/2006/relationships/hyperlink" Target="http://www.bcentral.cl/" TargetMode="External"/><Relationship Id="rId20" Type="http://schemas.openxmlformats.org/officeDocument/2006/relationships/hyperlink" Target="https://wiki.int.kn/display/regionsa/Current+Month+Daily+Exchange+Rates+-+Argentina" TargetMode="External"/><Relationship Id="rId1" Type="http://schemas.openxmlformats.org/officeDocument/2006/relationships/hyperlink" Target="https://www.oanda.com/lang/es/currency/converter/" TargetMode="External"/><Relationship Id="rId6" Type="http://schemas.openxmlformats.org/officeDocument/2006/relationships/hyperlink" Target="http://www.banrep.gov.co/" TargetMode="External"/><Relationship Id="rId11" Type="http://schemas.openxmlformats.org/officeDocument/2006/relationships/hyperlink" Target="http://www.bna.com.ar/" TargetMode="External"/><Relationship Id="rId5" Type="http://schemas.openxmlformats.org/officeDocument/2006/relationships/hyperlink" Target="http://www.bcu.gub.uy/Paginas/Default.aspx" TargetMode="External"/><Relationship Id="rId15" Type="http://schemas.openxmlformats.org/officeDocument/2006/relationships/hyperlink" Target="https://www.bce.fin.ec/index.php/component/k2/item/260-consulta-por-monedas-extranjeras" TargetMode="External"/><Relationship Id="rId23" Type="http://schemas.openxmlformats.org/officeDocument/2006/relationships/printerSettings" Target="../printerSettings/printerSettings1.bin"/><Relationship Id="rId10" Type="http://schemas.openxmlformats.org/officeDocument/2006/relationships/hyperlink" Target="https://www.bancopromerica.com.gt/" TargetMode="External"/><Relationship Id="rId19" Type="http://schemas.openxmlformats.org/officeDocument/2006/relationships/hyperlink" Target="https://wiki.int.kn/display/regionsa/Current+Month+Daily+Exchange+Rates+-+Chile" TargetMode="External"/><Relationship Id="rId4" Type="http://schemas.openxmlformats.org/officeDocument/2006/relationships/hyperlink" Target="http://www.central-bank.org.tt/" TargetMode="External"/><Relationship Id="rId9" Type="http://schemas.openxmlformats.org/officeDocument/2006/relationships/hyperlink" Target="http://www.banguat.gob.gt/cambio/" TargetMode="External"/><Relationship Id="rId14" Type="http://schemas.openxmlformats.org/officeDocument/2006/relationships/hyperlink" Target="https://gee.bccr.fi.cr/indicadoreseconomicos/Cuadros/frmVerCatCuadro.aspx?idioma=1&amp;CodCuadro=%20400" TargetMode="External"/><Relationship Id="rId22" Type="http://schemas.openxmlformats.org/officeDocument/2006/relationships/hyperlink" Target="https://wiki.int.kn/display/regionsa/Exchange+Rate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mailto:agata.sanchez@kuehne-nagel.com;abril.luis@kuehne-nagel.com;carolina.pineiro@Kuehne-Nagel.com" TargetMode="External"/><Relationship Id="rId1" Type="http://schemas.openxmlformats.org/officeDocument/2006/relationships/hyperlink" Target="mailto:nadia.hernandez@kuehne-nagel.com;esther.sanchez@Kuehne-Nagel.com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6"/>
  <dimension ref="A3:Y30"/>
  <sheetViews>
    <sheetView workbookViewId="0">
      <selection activeCell="B9" sqref="B9"/>
    </sheetView>
  </sheetViews>
  <sheetFormatPr baseColWidth="10" defaultColWidth="11.42578125" defaultRowHeight="15" x14ac:dyDescent="0.25"/>
  <cols>
    <col min="2" max="2" width="100.5703125" bestFit="1" customWidth="1"/>
    <col min="3" max="3" width="18.5703125" bestFit="1" customWidth="1"/>
  </cols>
  <sheetData>
    <row r="3" spans="1:14" x14ac:dyDescent="0.25">
      <c r="A3" s="94" t="s">
        <v>0</v>
      </c>
      <c r="B3" s="94" t="s">
        <v>1</v>
      </c>
      <c r="C3" s="283" t="s">
        <v>2</v>
      </c>
      <c r="D3" s="283"/>
      <c r="E3" s="283"/>
      <c r="F3" s="283"/>
      <c r="G3" s="283"/>
      <c r="H3" s="283"/>
      <c r="I3" s="283" t="s">
        <v>3</v>
      </c>
      <c r="J3" s="283"/>
    </row>
    <row r="4" spans="1:14" x14ac:dyDescent="0.25">
      <c r="A4" s="284" t="s">
        <v>4</v>
      </c>
      <c r="B4" s="90" t="s">
        <v>5</v>
      </c>
      <c r="C4" s="88" t="s">
        <v>6</v>
      </c>
      <c r="D4" s="88" t="s">
        <v>7</v>
      </c>
      <c r="E4" s="82"/>
      <c r="F4" s="86"/>
      <c r="G4" s="82"/>
      <c r="H4" s="82"/>
      <c r="I4" s="284" t="s">
        <v>8</v>
      </c>
      <c r="J4" s="284"/>
    </row>
    <row r="5" spans="1:14" x14ac:dyDescent="0.25">
      <c r="A5" s="284"/>
      <c r="B5" s="93" t="s">
        <v>9</v>
      </c>
      <c r="C5" s="82" t="s">
        <v>10</v>
      </c>
      <c r="D5" s="82" t="s">
        <v>11</v>
      </c>
      <c r="E5" s="82"/>
      <c r="F5" s="82"/>
      <c r="G5" s="82"/>
      <c r="H5" s="82"/>
      <c r="I5" s="284"/>
      <c r="J5" s="284"/>
    </row>
    <row r="6" spans="1:14" x14ac:dyDescent="0.25">
      <c r="A6" s="284" t="s">
        <v>12</v>
      </c>
      <c r="B6" s="92" t="s">
        <v>13</v>
      </c>
      <c r="C6" s="82" t="s">
        <v>14</v>
      </c>
      <c r="D6" s="82"/>
      <c r="E6" s="82"/>
      <c r="F6" s="82"/>
      <c r="G6" s="82"/>
      <c r="H6" s="82"/>
      <c r="I6" s="284" t="s">
        <v>15</v>
      </c>
      <c r="J6" s="284"/>
    </row>
    <row r="7" spans="1:14" x14ac:dyDescent="0.25">
      <c r="A7" s="284"/>
      <c r="B7" s="92" t="s">
        <v>16</v>
      </c>
      <c r="C7" s="82" t="s">
        <v>17</v>
      </c>
      <c r="D7" s="82" t="s">
        <v>18</v>
      </c>
      <c r="E7" s="82" t="s">
        <v>19</v>
      </c>
      <c r="F7" s="82" t="s">
        <v>20</v>
      </c>
      <c r="G7" s="82" t="s">
        <v>21</v>
      </c>
      <c r="H7" s="82" t="s">
        <v>22</v>
      </c>
      <c r="I7" s="284"/>
      <c r="J7" s="284"/>
      <c r="N7" t="s">
        <v>23</v>
      </c>
    </row>
    <row r="8" spans="1:14" x14ac:dyDescent="0.25">
      <c r="A8" s="82" t="s">
        <v>24</v>
      </c>
      <c r="B8" s="90" t="s">
        <v>25</v>
      </c>
      <c r="C8" s="82" t="s">
        <v>26</v>
      </c>
      <c r="D8" s="82"/>
      <c r="E8" s="82"/>
      <c r="F8" s="82"/>
      <c r="G8" s="82"/>
      <c r="H8" s="82"/>
      <c r="I8" s="285" t="s">
        <v>27</v>
      </c>
      <c r="J8" s="285"/>
    </row>
    <row r="9" spans="1:14" x14ac:dyDescent="0.25">
      <c r="A9" s="82" t="s">
        <v>28</v>
      </c>
      <c r="B9" s="90" t="s">
        <v>29</v>
      </c>
      <c r="C9" s="82" t="s">
        <v>30</v>
      </c>
      <c r="D9" s="82" t="s">
        <v>31</v>
      </c>
      <c r="E9" s="82"/>
      <c r="F9" s="82"/>
      <c r="G9" s="82"/>
      <c r="H9" s="82"/>
      <c r="I9" s="285" t="s">
        <v>32</v>
      </c>
      <c r="J9" s="285"/>
    </row>
    <row r="10" spans="1:14" x14ac:dyDescent="0.25">
      <c r="A10" s="284" t="s">
        <v>33</v>
      </c>
      <c r="B10" s="92" t="s">
        <v>34</v>
      </c>
      <c r="C10" s="82" t="s">
        <v>35</v>
      </c>
      <c r="D10" s="82"/>
      <c r="E10" s="82"/>
      <c r="F10" s="82"/>
      <c r="G10" s="82"/>
      <c r="H10" s="82"/>
      <c r="I10" s="284" t="s">
        <v>8</v>
      </c>
      <c r="J10" s="284"/>
    </row>
    <row r="11" spans="1:14" x14ac:dyDescent="0.25">
      <c r="A11" s="284"/>
      <c r="B11" s="91" t="s">
        <v>36</v>
      </c>
      <c r="C11" s="82" t="s">
        <v>35</v>
      </c>
      <c r="D11" s="82"/>
      <c r="E11" s="82"/>
      <c r="F11" s="82"/>
      <c r="G11" s="82"/>
      <c r="H11" s="82"/>
      <c r="I11" s="284"/>
      <c r="J11" s="284"/>
    </row>
    <row r="12" spans="1:14" x14ac:dyDescent="0.25">
      <c r="A12" s="284"/>
      <c r="B12" s="91" t="s">
        <v>37</v>
      </c>
      <c r="C12" s="82" t="s">
        <v>38</v>
      </c>
      <c r="D12" s="82" t="s">
        <v>39</v>
      </c>
      <c r="E12" s="82" t="s">
        <v>40</v>
      </c>
      <c r="F12" s="82" t="s">
        <v>41</v>
      </c>
      <c r="G12" s="82"/>
      <c r="H12" s="82"/>
      <c r="I12" s="284"/>
      <c r="J12" s="284"/>
    </row>
    <row r="13" spans="1:14" x14ac:dyDescent="0.25">
      <c r="A13" s="284" t="s">
        <v>42</v>
      </c>
      <c r="B13" s="90" t="s">
        <v>43</v>
      </c>
      <c r="C13" s="82" t="s">
        <v>44</v>
      </c>
      <c r="D13" s="89" t="s">
        <v>45</v>
      </c>
      <c r="E13" s="82"/>
      <c r="F13" s="82"/>
      <c r="G13" s="82"/>
      <c r="H13" s="82"/>
      <c r="I13" s="284" t="s">
        <v>46</v>
      </c>
      <c r="J13" s="284"/>
    </row>
    <row r="14" spans="1:14" x14ac:dyDescent="0.25">
      <c r="A14" s="284"/>
      <c r="B14" s="90" t="s">
        <v>47</v>
      </c>
      <c r="C14" s="82" t="s">
        <v>14</v>
      </c>
      <c r="D14" s="89" t="s">
        <v>48</v>
      </c>
      <c r="E14" s="82"/>
      <c r="F14" s="82"/>
      <c r="G14" s="82"/>
      <c r="H14" s="82"/>
      <c r="I14" s="284"/>
      <c r="J14" s="284"/>
    </row>
    <row r="15" spans="1:14" ht="60" x14ac:dyDescent="0.25">
      <c r="A15" s="88" t="s">
        <v>49</v>
      </c>
      <c r="B15" s="85" t="s">
        <v>50</v>
      </c>
      <c r="C15" s="87" t="s">
        <v>51</v>
      </c>
      <c r="D15" s="86" t="s">
        <v>52</v>
      </c>
      <c r="E15" s="86" t="s">
        <v>53</v>
      </c>
      <c r="F15" s="86" t="s">
        <v>54</v>
      </c>
      <c r="H15" s="83"/>
      <c r="I15" s="285" t="s">
        <v>32</v>
      </c>
      <c r="J15" s="285"/>
    </row>
    <row r="16" spans="1:14" x14ac:dyDescent="0.25">
      <c r="A16" s="82" t="s">
        <v>55</v>
      </c>
      <c r="B16" s="84" t="s">
        <v>244</v>
      </c>
      <c r="C16" s="82" t="s">
        <v>56</v>
      </c>
      <c r="D16" s="82" t="s">
        <v>57</v>
      </c>
      <c r="E16" s="83"/>
      <c r="F16" s="83"/>
      <c r="G16" s="83"/>
      <c r="H16" s="83"/>
      <c r="I16" s="285" t="s">
        <v>32</v>
      </c>
      <c r="J16" s="285"/>
    </row>
    <row r="17" spans="1:25" x14ac:dyDescent="0.25">
      <c r="A17" s="82" t="s">
        <v>58</v>
      </c>
      <c r="B17" s="85" t="s">
        <v>59</v>
      </c>
      <c r="C17" s="82" t="s">
        <v>14</v>
      </c>
      <c r="D17" s="83"/>
      <c r="E17" s="83"/>
      <c r="F17" s="83"/>
      <c r="G17" s="83"/>
      <c r="H17" s="83"/>
      <c r="I17" s="285" t="s">
        <v>27</v>
      </c>
      <c r="J17" s="285"/>
      <c r="Y17" s="129">
        <v>1755000</v>
      </c>
    </row>
    <row r="18" spans="1:25" x14ac:dyDescent="0.25">
      <c r="A18" s="82" t="s">
        <v>60</v>
      </c>
      <c r="B18" s="84" t="s">
        <v>61</v>
      </c>
      <c r="C18" s="82" t="s">
        <v>14</v>
      </c>
      <c r="D18" s="83"/>
      <c r="E18" s="83"/>
      <c r="F18" s="83"/>
      <c r="G18" s="83"/>
      <c r="H18" s="83"/>
      <c r="I18" s="285" t="s">
        <v>27</v>
      </c>
      <c r="J18" s="285"/>
    </row>
    <row r="19" spans="1:25" x14ac:dyDescent="0.25">
      <c r="A19" s="82" t="s">
        <v>62</v>
      </c>
      <c r="B19" s="84" t="s">
        <v>63</v>
      </c>
      <c r="C19" s="82" t="s">
        <v>14</v>
      </c>
      <c r="D19" s="83"/>
      <c r="E19" s="83"/>
      <c r="F19" s="83"/>
      <c r="G19" s="83"/>
      <c r="H19" s="83"/>
      <c r="I19" s="285" t="s">
        <v>8</v>
      </c>
      <c r="J19" s="285"/>
    </row>
    <row r="20" spans="1:25" x14ac:dyDescent="0.25">
      <c r="A20" s="82" t="s">
        <v>64</v>
      </c>
      <c r="B20" s="84" t="s">
        <v>65</v>
      </c>
      <c r="C20" s="82" t="s">
        <v>31</v>
      </c>
      <c r="D20" s="83"/>
      <c r="E20" s="83"/>
      <c r="F20" s="83"/>
      <c r="G20" s="83"/>
      <c r="H20" s="83"/>
      <c r="I20" s="285" t="s">
        <v>8</v>
      </c>
      <c r="J20" s="285"/>
    </row>
    <row r="22" spans="1:25" ht="15.75" thickBot="1" x14ac:dyDescent="0.3"/>
    <row r="23" spans="1:25" x14ac:dyDescent="0.25">
      <c r="B23" s="258" t="s">
        <v>334</v>
      </c>
    </row>
    <row r="24" spans="1:25" x14ac:dyDescent="0.25">
      <c r="B24" s="255" t="s">
        <v>295</v>
      </c>
    </row>
    <row r="25" spans="1:25" x14ac:dyDescent="0.25">
      <c r="B25" s="255"/>
    </row>
    <row r="26" spans="1:25" x14ac:dyDescent="0.25">
      <c r="B26" s="255" t="s">
        <v>296</v>
      </c>
    </row>
    <row r="27" spans="1:25" x14ac:dyDescent="0.25">
      <c r="B27" s="256"/>
    </row>
    <row r="28" spans="1:25" x14ac:dyDescent="0.25">
      <c r="B28" s="255" t="s">
        <v>297</v>
      </c>
    </row>
    <row r="29" spans="1:25" x14ac:dyDescent="0.25">
      <c r="B29" s="256"/>
    </row>
    <row r="30" spans="1:25" ht="15.75" thickBot="1" x14ac:dyDescent="0.3">
      <c r="B30" s="257" t="s">
        <v>333</v>
      </c>
    </row>
  </sheetData>
  <mergeCells count="18">
    <mergeCell ref="I18:J18"/>
    <mergeCell ref="I19:J19"/>
    <mergeCell ref="I20:J20"/>
    <mergeCell ref="I8:J8"/>
    <mergeCell ref="I9:J9"/>
    <mergeCell ref="I16:J16"/>
    <mergeCell ref="I17:J17"/>
    <mergeCell ref="A10:A12"/>
    <mergeCell ref="I10:J12"/>
    <mergeCell ref="A13:A14"/>
    <mergeCell ref="I13:J14"/>
    <mergeCell ref="I15:J15"/>
    <mergeCell ref="C3:H3"/>
    <mergeCell ref="I3:J3"/>
    <mergeCell ref="A4:A5"/>
    <mergeCell ref="I4:J5"/>
    <mergeCell ref="A6:A7"/>
    <mergeCell ref="I6:J7"/>
  </mergeCells>
  <hyperlinks>
    <hyperlink ref="B5" r:id="rId1" xr:uid="{00000000-0004-0000-0000-000000000000}"/>
    <hyperlink ref="B6" r:id="rId2" xr:uid="{00000000-0004-0000-0000-000001000000}"/>
    <hyperlink ref="B7" r:id="rId3" xr:uid="{00000000-0004-0000-0000-000002000000}"/>
    <hyperlink ref="B8" r:id="rId4" xr:uid="{00000000-0004-0000-0000-000003000000}"/>
    <hyperlink ref="B9" r:id="rId5" xr:uid="{00000000-0004-0000-0000-000004000000}"/>
    <hyperlink ref="B11" r:id="rId6" xr:uid="{00000000-0004-0000-0000-000005000000}"/>
    <hyperlink ref="B12" r:id="rId7" xr:uid="{00000000-0004-0000-0000-000006000000}"/>
    <hyperlink ref="A13" r:id="rId8" display="https://goo.gl/9tK6Zt" xr:uid="{00000000-0004-0000-0000-000007000000}"/>
    <hyperlink ref="B13" r:id="rId9" xr:uid="{00000000-0004-0000-0000-000008000000}"/>
    <hyperlink ref="B14" r:id="rId10" xr:uid="{00000000-0004-0000-0000-000009000000}"/>
    <hyperlink ref="B15" r:id="rId11" xr:uid="{00000000-0004-0000-0000-00000A000000}"/>
    <hyperlink ref="B17" r:id="rId12" xr:uid="{00000000-0004-0000-0000-00000B000000}"/>
    <hyperlink ref="B18" r:id="rId13" xr:uid="{00000000-0004-0000-0000-00000C000000}"/>
    <hyperlink ref="B19" r:id="rId14" xr:uid="{00000000-0004-0000-0000-00000D000000}"/>
    <hyperlink ref="B20" r:id="rId15" xr:uid="{00000000-0004-0000-0000-00000E000000}"/>
    <hyperlink ref="B4" r:id="rId16" xr:uid="{00000000-0004-0000-0000-00000F000000}"/>
    <hyperlink ref="B10" r:id="rId17" xr:uid="{00000000-0004-0000-0000-000010000000}"/>
    <hyperlink ref="B16" r:id="rId18" xr:uid="{00000000-0004-0000-0000-000011000000}"/>
    <hyperlink ref="B24" r:id="rId19" xr:uid="{00000000-0004-0000-0000-000012000000}"/>
    <hyperlink ref="B28" r:id="rId20" xr:uid="{00000000-0004-0000-0000-000013000000}"/>
    <hyperlink ref="B26" r:id="rId21" xr:uid="{00000000-0004-0000-0000-000014000000}"/>
    <hyperlink ref="B30" r:id="rId22" xr:uid="{00000000-0004-0000-0000-000015000000}"/>
  </hyperlinks>
  <pageMargins left="0.7" right="0.7" top="0.75" bottom="0.75" header="0.3" footer="0.3"/>
  <pageSetup orientation="portrait" horizontalDpi="300" r:id="rId2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A1:H134"/>
  <sheetViews>
    <sheetView showGridLines="0" topLeftCell="A11" workbookViewId="0">
      <selection activeCell="D135" sqref="D135"/>
    </sheetView>
  </sheetViews>
  <sheetFormatPr baseColWidth="10" defaultColWidth="10.85546875" defaultRowHeight="15" x14ac:dyDescent="0.25"/>
  <cols>
    <col min="1" max="1" width="12.7109375" style="1" bestFit="1" customWidth="1"/>
    <col min="2" max="2" width="22.140625" style="1" customWidth="1"/>
    <col min="3" max="3" width="10.42578125" style="1" customWidth="1"/>
    <col min="4" max="4" width="12" style="1" customWidth="1"/>
    <col min="5" max="5" width="11.7109375" style="1" bestFit="1" customWidth="1"/>
    <col min="6" max="6" width="15.42578125" style="1" bestFit="1" customWidth="1"/>
    <col min="7" max="7" width="12.28515625" style="1" customWidth="1"/>
    <col min="8" max="8" width="12.28515625" style="1" bestFit="1" customWidth="1"/>
    <col min="9" max="9" width="14.140625" style="1" bestFit="1" customWidth="1"/>
    <col min="10" max="16384" width="10.85546875" style="1"/>
  </cols>
  <sheetData>
    <row r="1" spans="1:5" ht="26.25" x14ac:dyDescent="0.4">
      <c r="A1" s="286" t="s">
        <v>66</v>
      </c>
      <c r="B1" s="286"/>
      <c r="C1" s="286"/>
      <c r="D1" s="286"/>
    </row>
    <row r="3" spans="1:5" ht="21" thickBot="1" x14ac:dyDescent="0.35">
      <c r="A3" s="2" t="s">
        <v>67</v>
      </c>
    </row>
    <row r="4" spans="1:5" ht="15.75" thickBot="1" x14ac:dyDescent="0.3">
      <c r="A4" s="3" t="s">
        <v>68</v>
      </c>
      <c r="B4" s="3" t="s">
        <v>69</v>
      </c>
      <c r="C4" s="3" t="s">
        <v>70</v>
      </c>
      <c r="D4" s="4" t="s">
        <v>71</v>
      </c>
    </row>
    <row r="5" spans="1:5" x14ac:dyDescent="0.25">
      <c r="A5" s="5" t="s">
        <v>72</v>
      </c>
      <c r="B5" s="6" t="s">
        <v>73</v>
      </c>
      <c r="C5" s="6" t="s">
        <v>74</v>
      </c>
      <c r="D5" s="57">
        <v>41.247999999999998</v>
      </c>
      <c r="E5" t="s">
        <v>75</v>
      </c>
    </row>
    <row r="6" spans="1:5" x14ac:dyDescent="0.25">
      <c r="A6" s="7" t="s">
        <v>76</v>
      </c>
      <c r="B6" s="8" t="s">
        <v>73</v>
      </c>
      <c r="C6" s="8" t="s">
        <v>74</v>
      </c>
      <c r="D6" s="56">
        <v>944.75</v>
      </c>
      <c r="E6" t="s">
        <v>75</v>
      </c>
    </row>
    <row r="7" spans="1:5" x14ac:dyDescent="0.25">
      <c r="A7" s="7" t="s">
        <v>76</v>
      </c>
      <c r="B7" s="8" t="s">
        <v>73</v>
      </c>
      <c r="C7" s="8" t="s">
        <v>31</v>
      </c>
      <c r="D7" s="9">
        <v>925.59</v>
      </c>
      <c r="E7" t="s">
        <v>75</v>
      </c>
    </row>
    <row r="8" spans="1:5" x14ac:dyDescent="0.25">
      <c r="A8" s="7" t="s">
        <v>77</v>
      </c>
      <c r="B8" s="8" t="s">
        <v>73</v>
      </c>
      <c r="C8" s="8" t="s">
        <v>74</v>
      </c>
      <c r="D8" s="9">
        <v>3.9830000000000001</v>
      </c>
      <c r="E8" t="s">
        <v>75</v>
      </c>
    </row>
    <row r="9" spans="1:5" x14ac:dyDescent="0.25">
      <c r="A9" s="7" t="s">
        <v>77</v>
      </c>
      <c r="B9" s="8" t="s">
        <v>78</v>
      </c>
      <c r="C9" s="8" t="s">
        <v>74</v>
      </c>
      <c r="D9" s="9">
        <v>3.9830000000000001</v>
      </c>
      <c r="E9" t="s">
        <v>75</v>
      </c>
    </row>
    <row r="10" spans="1:5" x14ac:dyDescent="0.25">
      <c r="A10" s="7" t="s">
        <v>79</v>
      </c>
      <c r="B10" s="8" t="s">
        <v>73</v>
      </c>
      <c r="C10" s="8" t="s">
        <v>74</v>
      </c>
      <c r="D10" s="9">
        <f>E44</f>
        <v>4765.04</v>
      </c>
      <c r="E10" t="s">
        <v>80</v>
      </c>
    </row>
    <row r="11" spans="1:5" x14ac:dyDescent="0.25">
      <c r="A11" s="7" t="s">
        <v>79</v>
      </c>
      <c r="B11" s="8" t="s">
        <v>78</v>
      </c>
      <c r="C11" s="8" t="s">
        <v>74</v>
      </c>
      <c r="D11" s="9">
        <v>4744.04</v>
      </c>
      <c r="E11" t="s">
        <v>81</v>
      </c>
    </row>
    <row r="12" spans="1:5" x14ac:dyDescent="0.25">
      <c r="A12" s="7" t="s">
        <v>82</v>
      </c>
      <c r="B12" s="8" t="s">
        <v>73</v>
      </c>
      <c r="C12" s="8" t="s">
        <v>74</v>
      </c>
      <c r="D12" s="9">
        <v>4765.04</v>
      </c>
      <c r="E12" t="s">
        <v>80</v>
      </c>
    </row>
    <row r="13" spans="1:5" x14ac:dyDescent="0.25">
      <c r="A13" s="7" t="s">
        <v>82</v>
      </c>
      <c r="B13" s="8" t="s">
        <v>78</v>
      </c>
      <c r="C13" s="8" t="s">
        <v>74</v>
      </c>
      <c r="D13" s="9">
        <f>D11</f>
        <v>4744.04</v>
      </c>
    </row>
    <row r="14" spans="1:5" x14ac:dyDescent="0.25">
      <c r="A14" s="7" t="s">
        <v>83</v>
      </c>
      <c r="B14" s="8" t="s">
        <v>73</v>
      </c>
      <c r="C14" s="8" t="s">
        <v>74</v>
      </c>
      <c r="D14" s="9"/>
      <c r="E14" t="s">
        <v>75</v>
      </c>
    </row>
    <row r="15" spans="1:5" x14ac:dyDescent="0.25">
      <c r="A15" s="7" t="s">
        <v>84</v>
      </c>
      <c r="B15" s="8" t="s">
        <v>73</v>
      </c>
      <c r="C15" s="8" t="s">
        <v>74</v>
      </c>
      <c r="D15" s="9"/>
      <c r="E15" t="s">
        <v>75</v>
      </c>
    </row>
    <row r="16" spans="1:5" x14ac:dyDescent="0.25">
      <c r="A16" s="7" t="s">
        <v>84</v>
      </c>
      <c r="B16" s="8" t="s">
        <v>73</v>
      </c>
      <c r="C16" s="8" t="s">
        <v>31</v>
      </c>
      <c r="D16" s="9"/>
      <c r="E16" t="s">
        <v>75</v>
      </c>
    </row>
    <row r="17" spans="1:6" x14ac:dyDescent="0.25">
      <c r="A17" s="10" t="s">
        <v>72</v>
      </c>
      <c r="B17" s="11" t="s">
        <v>73</v>
      </c>
      <c r="C17" s="11" t="s">
        <v>31</v>
      </c>
      <c r="D17" s="12"/>
      <c r="E17" t="s">
        <v>75</v>
      </c>
    </row>
    <row r="18" spans="1:6" x14ac:dyDescent="0.25">
      <c r="A18" s="10" t="s">
        <v>79</v>
      </c>
      <c r="B18" s="11" t="s">
        <v>73</v>
      </c>
      <c r="C18" s="11" t="s">
        <v>31</v>
      </c>
      <c r="D18" s="12"/>
      <c r="E18" t="s">
        <v>85</v>
      </c>
    </row>
    <row r="19" spans="1:6" x14ac:dyDescent="0.25">
      <c r="A19" s="10" t="s">
        <v>82</v>
      </c>
      <c r="B19" s="11" t="s">
        <v>73</v>
      </c>
      <c r="C19" s="11" t="s">
        <v>31</v>
      </c>
      <c r="D19" s="12"/>
      <c r="E19" t="s">
        <v>85</v>
      </c>
    </row>
    <row r="20" spans="1:6" x14ac:dyDescent="0.25">
      <c r="A20" s="10" t="s">
        <v>86</v>
      </c>
      <c r="B20" s="11" t="s">
        <v>73</v>
      </c>
      <c r="C20" s="11" t="s">
        <v>74</v>
      </c>
      <c r="D20" s="12"/>
    </row>
    <row r="21" spans="1:6" x14ac:dyDescent="0.25">
      <c r="A21" s="10" t="s">
        <v>87</v>
      </c>
      <c r="B21" s="11" t="s">
        <v>73</v>
      </c>
      <c r="C21" s="11" t="s">
        <v>74</v>
      </c>
      <c r="D21" s="12"/>
    </row>
    <row r="22" spans="1:6" x14ac:dyDescent="0.25">
      <c r="A22" s="10" t="s">
        <v>88</v>
      </c>
      <c r="B22" s="11" t="s">
        <v>73</v>
      </c>
      <c r="C22" s="11" t="s">
        <v>74</v>
      </c>
      <c r="D22" s="12"/>
    </row>
    <row r="23" spans="1:6" x14ac:dyDescent="0.25">
      <c r="A23" s="13" t="s">
        <v>89</v>
      </c>
      <c r="B23" s="14" t="s">
        <v>73</v>
      </c>
      <c r="C23" s="14" t="s">
        <v>74</v>
      </c>
      <c r="D23" s="15"/>
    </row>
    <row r="24" spans="1:6" ht="15.75" thickBot="1" x14ac:dyDescent="0.3">
      <c r="A24" s="16" t="s">
        <v>90</v>
      </c>
      <c r="B24" s="17" t="s">
        <v>73</v>
      </c>
      <c r="C24" s="17" t="s">
        <v>74</v>
      </c>
      <c r="D24" s="18"/>
    </row>
    <row r="27" spans="1:6" ht="21" thickBot="1" x14ac:dyDescent="0.35">
      <c r="A27" s="2" t="s">
        <v>91</v>
      </c>
    </row>
    <row r="28" spans="1:6" ht="15.75" thickBot="1" x14ac:dyDescent="0.3">
      <c r="A28" s="19" t="s">
        <v>68</v>
      </c>
      <c r="B28" s="19" t="s">
        <v>92</v>
      </c>
      <c r="C28" s="19" t="s">
        <v>93</v>
      </c>
      <c r="D28" s="20" t="s">
        <v>94</v>
      </c>
      <c r="E28" s="19" t="s">
        <v>71</v>
      </c>
    </row>
    <row r="29" spans="1:6" x14ac:dyDescent="0.25">
      <c r="A29" s="21" t="s">
        <v>95</v>
      </c>
      <c r="B29" s="22" t="s">
        <v>96</v>
      </c>
      <c r="C29" s="22" t="s">
        <v>97</v>
      </c>
      <c r="D29" s="22" t="s">
        <v>74</v>
      </c>
      <c r="E29" s="45">
        <f>1/D5</f>
        <v>2.4243599689681924E-2</v>
      </c>
    </row>
    <row r="30" spans="1:6" x14ac:dyDescent="0.25">
      <c r="A30" s="23" t="s">
        <v>95</v>
      </c>
      <c r="B30" s="24" t="s">
        <v>96</v>
      </c>
      <c r="C30" s="24" t="s">
        <v>74</v>
      </c>
      <c r="D30" s="24" t="s">
        <v>97</v>
      </c>
      <c r="E30" s="46">
        <f>D5</f>
        <v>41.247999999999998</v>
      </c>
    </row>
    <row r="31" spans="1:6" x14ac:dyDescent="0.25">
      <c r="A31" s="23" t="s">
        <v>98</v>
      </c>
      <c r="B31" s="24" t="s">
        <v>99</v>
      </c>
      <c r="C31" s="24" t="s">
        <v>74</v>
      </c>
      <c r="D31" s="24" t="s">
        <v>100</v>
      </c>
      <c r="E31" s="46">
        <f>(D6*4%)+D6</f>
        <v>982.54</v>
      </c>
    </row>
    <row r="32" spans="1:6" x14ac:dyDescent="0.25">
      <c r="A32" s="23" t="s">
        <v>98</v>
      </c>
      <c r="B32" s="24" t="s">
        <v>101</v>
      </c>
      <c r="C32" s="24" t="s">
        <v>74</v>
      </c>
      <c r="D32" s="24" t="s">
        <v>100</v>
      </c>
      <c r="E32" s="46">
        <v>944.03700000000003</v>
      </c>
      <c r="F32" t="s">
        <v>102</v>
      </c>
    </row>
    <row r="33" spans="1:6" x14ac:dyDescent="0.25">
      <c r="A33" s="23" t="s">
        <v>98</v>
      </c>
      <c r="B33" s="24" t="s">
        <v>103</v>
      </c>
      <c r="C33" s="24" t="s">
        <v>74</v>
      </c>
      <c r="D33" s="24" t="s">
        <v>100</v>
      </c>
      <c r="E33" s="46">
        <f>D6</f>
        <v>944.75</v>
      </c>
    </row>
    <row r="34" spans="1:6" x14ac:dyDescent="0.25">
      <c r="A34" s="23" t="s">
        <v>98</v>
      </c>
      <c r="B34" s="24" t="s">
        <v>99</v>
      </c>
      <c r="C34" s="24" t="s">
        <v>31</v>
      </c>
      <c r="D34" s="24" t="s">
        <v>100</v>
      </c>
      <c r="E34" s="25">
        <f>(D7*4%)+D7</f>
        <v>962.61360000000002</v>
      </c>
    </row>
    <row r="35" spans="1:6" x14ac:dyDescent="0.25">
      <c r="A35" s="23" t="s">
        <v>98</v>
      </c>
      <c r="B35" s="24" t="s">
        <v>101</v>
      </c>
      <c r="C35" s="24" t="s">
        <v>31</v>
      </c>
      <c r="D35" s="24" t="s">
        <v>100</v>
      </c>
      <c r="E35" s="46">
        <v>918.85799999999995</v>
      </c>
      <c r="F35" t="s">
        <v>102</v>
      </c>
    </row>
    <row r="36" spans="1:6" x14ac:dyDescent="0.25">
      <c r="A36" s="23" t="s">
        <v>98</v>
      </c>
      <c r="B36" s="24" t="s">
        <v>103</v>
      </c>
      <c r="C36" s="24" t="s">
        <v>31</v>
      </c>
      <c r="D36" s="24" t="s">
        <v>100</v>
      </c>
      <c r="E36" s="46">
        <f>D7</f>
        <v>925.59</v>
      </c>
    </row>
    <row r="37" spans="1:6" x14ac:dyDescent="0.25">
      <c r="A37" s="23" t="s">
        <v>104</v>
      </c>
      <c r="B37" s="24" t="s">
        <v>105</v>
      </c>
      <c r="C37" s="24" t="s">
        <v>74</v>
      </c>
      <c r="D37" s="24" t="s">
        <v>106</v>
      </c>
      <c r="E37" s="47">
        <f>D8</f>
        <v>3.9830000000000001</v>
      </c>
    </row>
    <row r="38" spans="1:6" x14ac:dyDescent="0.25">
      <c r="A38" s="23" t="s">
        <v>104</v>
      </c>
      <c r="B38" s="24" t="s">
        <v>105</v>
      </c>
      <c r="C38" s="24" t="s">
        <v>106</v>
      </c>
      <c r="D38" s="24" t="s">
        <v>74</v>
      </c>
      <c r="E38" s="58">
        <f>1/E37</f>
        <v>0.25106703489831783</v>
      </c>
    </row>
    <row r="39" spans="1:6" x14ac:dyDescent="0.25">
      <c r="A39" s="23" t="s">
        <v>104</v>
      </c>
      <c r="B39" s="24" t="s">
        <v>105</v>
      </c>
      <c r="C39" s="24" t="s">
        <v>31</v>
      </c>
      <c r="D39" s="24" t="s">
        <v>74</v>
      </c>
      <c r="E39" s="58">
        <f>E40/E37</f>
        <v>1.0710519708762238</v>
      </c>
      <c r="F39"/>
    </row>
    <row r="40" spans="1:6" x14ac:dyDescent="0.25">
      <c r="A40" s="23" t="s">
        <v>104</v>
      </c>
      <c r="B40" s="24" t="s">
        <v>105</v>
      </c>
      <c r="C40" s="24" t="s">
        <v>31</v>
      </c>
      <c r="D40" s="24" t="s">
        <v>106</v>
      </c>
      <c r="E40" s="25">
        <v>4.266</v>
      </c>
      <c r="F40" t="s">
        <v>107</v>
      </c>
    </row>
    <row r="41" spans="1:6" x14ac:dyDescent="0.25">
      <c r="A41" s="23" t="s">
        <v>104</v>
      </c>
      <c r="B41" s="24" t="s">
        <v>105</v>
      </c>
      <c r="C41" s="24" t="s">
        <v>108</v>
      </c>
      <c r="D41" s="24" t="s">
        <v>74</v>
      </c>
      <c r="E41" s="25">
        <v>0.14047999999999999</v>
      </c>
      <c r="F41" t="s">
        <v>85</v>
      </c>
    </row>
    <row r="42" spans="1:6" x14ac:dyDescent="0.25">
      <c r="A42" s="23" t="s">
        <v>109</v>
      </c>
      <c r="B42" s="24" t="s">
        <v>35</v>
      </c>
      <c r="C42" s="24" t="s">
        <v>74</v>
      </c>
      <c r="D42" s="24" t="s">
        <v>110</v>
      </c>
      <c r="E42" s="25">
        <f>D11</f>
        <v>4744.04</v>
      </c>
    </row>
    <row r="43" spans="1:6" x14ac:dyDescent="0.25">
      <c r="A43" s="23" t="s">
        <v>109</v>
      </c>
      <c r="B43" s="24" t="s">
        <v>111</v>
      </c>
      <c r="C43" s="24" t="s">
        <v>74</v>
      </c>
      <c r="D43" s="24" t="s">
        <v>110</v>
      </c>
      <c r="E43" s="25">
        <f>E42+13</f>
        <v>4757.04</v>
      </c>
    </row>
    <row r="44" spans="1:6" x14ac:dyDescent="0.25">
      <c r="A44" s="23" t="s">
        <v>109</v>
      </c>
      <c r="B44" s="24" t="s">
        <v>112</v>
      </c>
      <c r="C44" s="24" t="s">
        <v>74</v>
      </c>
      <c r="D44" s="24" t="s">
        <v>110</v>
      </c>
      <c r="E44" s="25">
        <f>E42+21</f>
        <v>4765.04</v>
      </c>
    </row>
    <row r="45" spans="1:6" x14ac:dyDescent="0.25">
      <c r="A45" s="23" t="s">
        <v>109</v>
      </c>
      <c r="B45" s="24" t="s">
        <v>113</v>
      </c>
      <c r="C45" s="24" t="s">
        <v>74</v>
      </c>
      <c r="D45" s="24" t="s">
        <v>110</v>
      </c>
      <c r="E45" s="25">
        <f>E42+30</f>
        <v>4774.04</v>
      </c>
    </row>
    <row r="46" spans="1:6" x14ac:dyDescent="0.25">
      <c r="A46" s="23" t="s">
        <v>109</v>
      </c>
      <c r="B46" s="24" t="s">
        <v>114</v>
      </c>
      <c r="C46" s="24" t="s">
        <v>74</v>
      </c>
      <c r="D46" s="24" t="s">
        <v>110</v>
      </c>
      <c r="E46" s="25">
        <f>E42+35</f>
        <v>4779.04</v>
      </c>
    </row>
    <row r="47" spans="1:6" x14ac:dyDescent="0.25">
      <c r="A47" s="23" t="s">
        <v>109</v>
      </c>
      <c r="B47" s="24" t="s">
        <v>115</v>
      </c>
      <c r="C47" s="24" t="s">
        <v>74</v>
      </c>
      <c r="D47" s="24" t="s">
        <v>110</v>
      </c>
      <c r="E47" s="25">
        <f>E42+40</f>
        <v>4784.04</v>
      </c>
    </row>
    <row r="48" spans="1:6" x14ac:dyDescent="0.25">
      <c r="A48" s="23" t="s">
        <v>109</v>
      </c>
      <c r="B48" s="24" t="s">
        <v>116</v>
      </c>
      <c r="C48" s="24" t="s">
        <v>74</v>
      </c>
      <c r="D48" s="24" t="s">
        <v>110</v>
      </c>
      <c r="E48" s="25">
        <f>E42+45</f>
        <v>4789.04</v>
      </c>
    </row>
    <row r="49" spans="1:6" x14ac:dyDescent="0.25">
      <c r="A49" s="23" t="s">
        <v>109</v>
      </c>
      <c r="B49" s="24" t="s">
        <v>117</v>
      </c>
      <c r="C49" s="24" t="s">
        <v>74</v>
      </c>
      <c r="D49" s="24" t="s">
        <v>110</v>
      </c>
      <c r="E49" s="25">
        <f>E42+50</f>
        <v>4794.04</v>
      </c>
    </row>
    <row r="50" spans="1:6" x14ac:dyDescent="0.25">
      <c r="A50" s="23" t="s">
        <v>109</v>
      </c>
      <c r="B50" s="24" t="s">
        <v>118</v>
      </c>
      <c r="C50" s="24" t="s">
        <v>74</v>
      </c>
      <c r="D50" s="24" t="s">
        <v>110</v>
      </c>
      <c r="E50" s="25">
        <f>E42+55</f>
        <v>4799.04</v>
      </c>
    </row>
    <row r="51" spans="1:6" x14ac:dyDescent="0.25">
      <c r="A51" s="23" t="s">
        <v>109</v>
      </c>
      <c r="B51" s="24" t="s">
        <v>119</v>
      </c>
      <c r="C51" s="24" t="s">
        <v>74</v>
      </c>
      <c r="D51" s="24" t="s">
        <v>110</v>
      </c>
      <c r="E51" s="25">
        <f>E42+60</f>
        <v>4804.04</v>
      </c>
    </row>
    <row r="52" spans="1:6" x14ac:dyDescent="0.25">
      <c r="A52" s="23" t="s">
        <v>109</v>
      </c>
      <c r="B52" s="24" t="s">
        <v>120</v>
      </c>
      <c r="C52" s="24" t="s">
        <v>74</v>
      </c>
      <c r="D52" s="24" t="s">
        <v>110</v>
      </c>
      <c r="E52" s="25">
        <f>E42+70</f>
        <v>4814.04</v>
      </c>
    </row>
    <row r="53" spans="1:6" x14ac:dyDescent="0.25">
      <c r="A53" s="23" t="s">
        <v>109</v>
      </c>
      <c r="B53" s="24" t="s">
        <v>121</v>
      </c>
      <c r="C53" s="24" t="s">
        <v>31</v>
      </c>
      <c r="D53" s="24" t="s">
        <v>110</v>
      </c>
      <c r="E53" s="25">
        <v>4664.38</v>
      </c>
      <c r="F53" s="1" t="s">
        <v>85</v>
      </c>
    </row>
    <row r="54" spans="1:6" x14ac:dyDescent="0.25">
      <c r="A54" s="23" t="s">
        <v>109</v>
      </c>
      <c r="B54" s="24" t="s">
        <v>121</v>
      </c>
      <c r="C54" s="24" t="s">
        <v>31</v>
      </c>
      <c r="D54" s="24" t="s">
        <v>74</v>
      </c>
      <c r="E54" s="25">
        <v>0.98472000000000004</v>
      </c>
      <c r="F54" s="1" t="s">
        <v>85</v>
      </c>
    </row>
    <row r="55" spans="1:6" x14ac:dyDescent="0.25">
      <c r="A55" s="23" t="s">
        <v>109</v>
      </c>
      <c r="B55" s="24" t="s">
        <v>121</v>
      </c>
      <c r="C55" s="24" t="s">
        <v>108</v>
      </c>
      <c r="D55" s="24" t="s">
        <v>74</v>
      </c>
      <c r="E55" s="25">
        <v>0.13886000000000001</v>
      </c>
      <c r="F55" s="1" t="s">
        <v>85</v>
      </c>
    </row>
    <row r="56" spans="1:6" x14ac:dyDescent="0.25">
      <c r="A56" s="23" t="s">
        <v>109</v>
      </c>
      <c r="B56" s="24" t="s">
        <v>121</v>
      </c>
      <c r="C56" s="24" t="s">
        <v>122</v>
      </c>
      <c r="D56" s="24" t="s">
        <v>74</v>
      </c>
      <c r="E56" s="25">
        <v>6.7099999999999998E-3</v>
      </c>
      <c r="F56" s="1" t="s">
        <v>85</v>
      </c>
    </row>
    <row r="57" spans="1:6" x14ac:dyDescent="0.25">
      <c r="A57" s="23" t="s">
        <v>109</v>
      </c>
      <c r="B57" s="24" t="s">
        <v>121</v>
      </c>
      <c r="C57" s="24" t="s">
        <v>108</v>
      </c>
      <c r="D57" s="24" t="s">
        <v>110</v>
      </c>
      <c r="E57" s="25">
        <v>657.75099999999998</v>
      </c>
      <c r="F57" s="1" t="s">
        <v>85</v>
      </c>
    </row>
    <row r="58" spans="1:6" x14ac:dyDescent="0.25">
      <c r="A58" s="23" t="s">
        <v>109</v>
      </c>
      <c r="B58" s="24" t="s">
        <v>121</v>
      </c>
      <c r="C58" s="24" t="s">
        <v>122</v>
      </c>
      <c r="D58" s="24" t="s">
        <v>110</v>
      </c>
      <c r="E58" s="25">
        <v>31.776399999999999</v>
      </c>
      <c r="F58" s="1" t="s">
        <v>85</v>
      </c>
    </row>
    <row r="59" spans="1:6" x14ac:dyDescent="0.25">
      <c r="A59" s="23" t="s">
        <v>109</v>
      </c>
      <c r="B59" s="24" t="s">
        <v>121</v>
      </c>
      <c r="C59" s="24" t="s">
        <v>123</v>
      </c>
      <c r="D59" s="24" t="s">
        <v>74</v>
      </c>
      <c r="E59" s="25">
        <v>0.18962999999999999</v>
      </c>
      <c r="F59" s="1" t="s">
        <v>85</v>
      </c>
    </row>
    <row r="60" spans="1:6" x14ac:dyDescent="0.25">
      <c r="A60" s="23" t="s">
        <v>124</v>
      </c>
      <c r="B60" s="24" t="s">
        <v>125</v>
      </c>
      <c r="C60" s="24" t="s">
        <v>74</v>
      </c>
      <c r="D60" s="24" t="s">
        <v>126</v>
      </c>
      <c r="E60" s="25"/>
    </row>
    <row r="61" spans="1:6" x14ac:dyDescent="0.25">
      <c r="A61" s="23" t="s">
        <v>124</v>
      </c>
      <c r="B61" s="24" t="s">
        <v>127</v>
      </c>
      <c r="C61" s="24" t="s">
        <v>74</v>
      </c>
      <c r="D61" s="24" t="s">
        <v>126</v>
      </c>
      <c r="E61" s="25"/>
    </row>
    <row r="62" spans="1:6" x14ac:dyDescent="0.25">
      <c r="A62" s="23" t="s">
        <v>128</v>
      </c>
      <c r="B62" s="24" t="s">
        <v>129</v>
      </c>
      <c r="C62" s="24" t="s">
        <v>31</v>
      </c>
      <c r="D62" s="24" t="s">
        <v>74</v>
      </c>
      <c r="E62" s="25"/>
    </row>
    <row r="63" spans="1:6" x14ac:dyDescent="0.25">
      <c r="A63" s="23" t="s">
        <v>130</v>
      </c>
      <c r="B63" s="24" t="s">
        <v>131</v>
      </c>
      <c r="C63" s="24" t="s">
        <v>132</v>
      </c>
      <c r="D63" s="24" t="s">
        <v>74</v>
      </c>
      <c r="E63" s="25"/>
    </row>
    <row r="64" spans="1:6" x14ac:dyDescent="0.25">
      <c r="A64" s="23" t="s">
        <v>130</v>
      </c>
      <c r="B64" s="24" t="s">
        <v>133</v>
      </c>
      <c r="C64" s="24" t="s">
        <v>132</v>
      </c>
      <c r="D64" s="24" t="s">
        <v>74</v>
      </c>
      <c r="E64" s="25"/>
    </row>
    <row r="65" spans="1:5" x14ac:dyDescent="0.25">
      <c r="A65" s="23" t="s">
        <v>130</v>
      </c>
      <c r="B65" s="24" t="s">
        <v>134</v>
      </c>
      <c r="C65" s="24" t="s">
        <v>132</v>
      </c>
      <c r="D65" s="24" t="s">
        <v>74</v>
      </c>
      <c r="E65" s="25"/>
    </row>
    <row r="66" spans="1:5" x14ac:dyDescent="0.25">
      <c r="A66" s="23" t="s">
        <v>130</v>
      </c>
      <c r="B66" s="24" t="s">
        <v>135</v>
      </c>
      <c r="C66" s="24" t="s">
        <v>132</v>
      </c>
      <c r="D66" s="24" t="s">
        <v>74</v>
      </c>
      <c r="E66" s="25"/>
    </row>
    <row r="67" spans="1:5" x14ac:dyDescent="0.25">
      <c r="A67" s="23" t="s">
        <v>130</v>
      </c>
      <c r="B67" s="24" t="s">
        <v>136</v>
      </c>
      <c r="C67" s="24" t="s">
        <v>132</v>
      </c>
      <c r="D67" s="24" t="s">
        <v>74</v>
      </c>
      <c r="E67" s="25"/>
    </row>
    <row r="68" spans="1:5" x14ac:dyDescent="0.25">
      <c r="A68" s="23" t="s">
        <v>130</v>
      </c>
      <c r="B68" s="24" t="s">
        <v>131</v>
      </c>
      <c r="C68" s="24" t="s">
        <v>74</v>
      </c>
      <c r="D68" s="24" t="s">
        <v>132</v>
      </c>
      <c r="E68" s="25"/>
    </row>
    <row r="69" spans="1:5" x14ac:dyDescent="0.25">
      <c r="A69" s="23" t="s">
        <v>130</v>
      </c>
      <c r="B69" s="24" t="s">
        <v>133</v>
      </c>
      <c r="C69" s="24" t="s">
        <v>74</v>
      </c>
      <c r="D69" s="24" t="s">
        <v>132</v>
      </c>
      <c r="E69" s="25"/>
    </row>
    <row r="70" spans="1:5" x14ac:dyDescent="0.25">
      <c r="A70" s="23" t="s">
        <v>130</v>
      </c>
      <c r="B70" s="24" t="s">
        <v>134</v>
      </c>
      <c r="C70" s="24" t="s">
        <v>74</v>
      </c>
      <c r="D70" s="24" t="s">
        <v>132</v>
      </c>
      <c r="E70" s="25"/>
    </row>
    <row r="71" spans="1:5" x14ac:dyDescent="0.25">
      <c r="A71" s="23" t="s">
        <v>130</v>
      </c>
      <c r="B71" s="24" t="s">
        <v>135</v>
      </c>
      <c r="C71" s="24" t="s">
        <v>74</v>
      </c>
      <c r="D71" s="24" t="s">
        <v>132</v>
      </c>
      <c r="E71" s="25"/>
    </row>
    <row r="72" spans="1:5" x14ac:dyDescent="0.25">
      <c r="A72" s="23" t="s">
        <v>130</v>
      </c>
      <c r="B72" s="24" t="s">
        <v>136</v>
      </c>
      <c r="C72" s="24" t="s">
        <v>74</v>
      </c>
      <c r="D72" s="24" t="s">
        <v>132</v>
      </c>
      <c r="E72" s="25"/>
    </row>
    <row r="73" spans="1:5" x14ac:dyDescent="0.25">
      <c r="A73" s="10" t="s">
        <v>137</v>
      </c>
      <c r="B73" s="11" t="s">
        <v>138</v>
      </c>
      <c r="C73" s="11" t="s">
        <v>74</v>
      </c>
      <c r="D73" s="11" t="s">
        <v>139</v>
      </c>
      <c r="E73" s="12"/>
    </row>
    <row r="74" spans="1:5" x14ac:dyDescent="0.25">
      <c r="A74" s="10" t="s">
        <v>140</v>
      </c>
      <c r="B74" s="11" t="s">
        <v>141</v>
      </c>
      <c r="C74" s="11" t="s">
        <v>74</v>
      </c>
      <c r="D74" s="11" t="s">
        <v>142</v>
      </c>
      <c r="E74" s="12"/>
    </row>
    <row r="75" spans="1:5" x14ac:dyDescent="0.25">
      <c r="A75" s="10" t="s">
        <v>140</v>
      </c>
      <c r="B75" s="11" t="s">
        <v>141</v>
      </c>
      <c r="C75" s="11" t="s">
        <v>123</v>
      </c>
      <c r="D75" s="11" t="s">
        <v>142</v>
      </c>
      <c r="E75" s="12"/>
    </row>
    <row r="76" spans="1:5" x14ac:dyDescent="0.25">
      <c r="A76" s="10" t="s">
        <v>140</v>
      </c>
      <c r="B76" s="11" t="s">
        <v>141</v>
      </c>
      <c r="C76" s="11" t="s">
        <v>108</v>
      </c>
      <c r="D76" s="11" t="s">
        <v>142</v>
      </c>
      <c r="E76" s="12"/>
    </row>
    <row r="77" spans="1:5" x14ac:dyDescent="0.25">
      <c r="A77" s="10" t="s">
        <v>140</v>
      </c>
      <c r="B77" s="11" t="s">
        <v>141</v>
      </c>
      <c r="C77" s="11" t="s">
        <v>31</v>
      </c>
      <c r="D77" s="11" t="s">
        <v>142</v>
      </c>
      <c r="E77" s="12"/>
    </row>
    <row r="78" spans="1:5" x14ac:dyDescent="0.25">
      <c r="A78" s="10" t="s">
        <v>140</v>
      </c>
      <c r="B78" s="11" t="s">
        <v>141</v>
      </c>
      <c r="C78" s="11" t="s">
        <v>143</v>
      </c>
      <c r="D78" s="11" t="s">
        <v>142</v>
      </c>
      <c r="E78" s="12"/>
    </row>
    <row r="79" spans="1:5" x14ac:dyDescent="0.25">
      <c r="A79" s="10" t="s">
        <v>140</v>
      </c>
      <c r="B79" s="11" t="s">
        <v>141</v>
      </c>
      <c r="C79" s="11" t="s">
        <v>122</v>
      </c>
      <c r="D79" s="11" t="s">
        <v>142</v>
      </c>
      <c r="E79" s="12"/>
    </row>
    <row r="80" spans="1:5" x14ac:dyDescent="0.25">
      <c r="A80" s="10" t="s">
        <v>140</v>
      </c>
      <c r="B80" s="11" t="s">
        <v>141</v>
      </c>
      <c r="C80" s="11" t="s">
        <v>144</v>
      </c>
      <c r="D80" s="11" t="s">
        <v>142</v>
      </c>
      <c r="E80" s="12"/>
    </row>
    <row r="81" spans="1:5" x14ac:dyDescent="0.25">
      <c r="A81" s="10" t="s">
        <v>140</v>
      </c>
      <c r="B81" s="11" t="s">
        <v>141</v>
      </c>
      <c r="C81" s="11" t="s">
        <v>145</v>
      </c>
      <c r="D81" s="11" t="s">
        <v>74</v>
      </c>
      <c r="E81" s="12"/>
    </row>
    <row r="82" spans="1:5" ht="15.75" thickBot="1" x14ac:dyDescent="0.3">
      <c r="A82" s="16" t="s">
        <v>140</v>
      </c>
      <c r="B82" s="17" t="s">
        <v>141</v>
      </c>
      <c r="C82" s="17" t="s">
        <v>145</v>
      </c>
      <c r="D82" s="17" t="s">
        <v>142</v>
      </c>
      <c r="E82" s="18"/>
    </row>
    <row r="85" spans="1:5" ht="21" thickBot="1" x14ac:dyDescent="0.35">
      <c r="A85" s="2" t="s">
        <v>146</v>
      </c>
    </row>
    <row r="86" spans="1:5" ht="15.75" thickBot="1" x14ac:dyDescent="0.3">
      <c r="A86" s="26" t="s">
        <v>68</v>
      </c>
      <c r="B86" s="27" t="s">
        <v>147</v>
      </c>
      <c r="C86" s="27" t="s">
        <v>148</v>
      </c>
      <c r="D86" s="27" t="s">
        <v>149</v>
      </c>
      <c r="E86" s="28" t="s">
        <v>71</v>
      </c>
    </row>
    <row r="87" spans="1:5" x14ac:dyDescent="0.25">
      <c r="A87" s="29" t="s">
        <v>28</v>
      </c>
      <c r="B87" s="30">
        <v>1</v>
      </c>
      <c r="C87" s="31" t="s">
        <v>74</v>
      </c>
      <c r="D87" s="31" t="s">
        <v>97</v>
      </c>
      <c r="E87" s="49">
        <f>D5</f>
        <v>41.247999999999998</v>
      </c>
    </row>
    <row r="88" spans="1:5" x14ac:dyDescent="0.25">
      <c r="A88" s="7" t="s">
        <v>4</v>
      </c>
      <c r="B88" s="32">
        <v>1</v>
      </c>
      <c r="C88" s="8" t="s">
        <v>74</v>
      </c>
      <c r="D88" s="8" t="s">
        <v>100</v>
      </c>
      <c r="E88" s="48">
        <f>E31</f>
        <v>982.54</v>
      </c>
    </row>
    <row r="89" spans="1:5" x14ac:dyDescent="0.25">
      <c r="A89" s="7" t="s">
        <v>4</v>
      </c>
      <c r="B89" s="32">
        <v>3</v>
      </c>
      <c r="C89" s="8" t="s">
        <v>74</v>
      </c>
      <c r="D89" s="8" t="s">
        <v>100</v>
      </c>
      <c r="E89" s="48">
        <f>D6</f>
        <v>944.75</v>
      </c>
    </row>
    <row r="90" spans="1:5" x14ac:dyDescent="0.25">
      <c r="A90" s="7" t="s">
        <v>4</v>
      </c>
      <c r="B90" s="32">
        <v>1</v>
      </c>
      <c r="C90" s="8" t="s">
        <v>31</v>
      </c>
      <c r="D90" s="8" t="s">
        <v>100</v>
      </c>
      <c r="E90" s="9">
        <f>E34</f>
        <v>962.61360000000002</v>
      </c>
    </row>
    <row r="91" spans="1:5" x14ac:dyDescent="0.25">
      <c r="A91" s="7" t="s">
        <v>4</v>
      </c>
      <c r="B91" s="32">
        <v>3</v>
      </c>
      <c r="C91" s="8" t="s">
        <v>31</v>
      </c>
      <c r="D91" s="8" t="s">
        <v>100</v>
      </c>
      <c r="E91" s="48">
        <f>D7</f>
        <v>925.59</v>
      </c>
    </row>
    <row r="92" spans="1:5" x14ac:dyDescent="0.25">
      <c r="A92" s="7" t="s">
        <v>55</v>
      </c>
      <c r="B92" s="32">
        <v>1</v>
      </c>
      <c r="C92" s="8" t="s">
        <v>74</v>
      </c>
      <c r="D92" s="8" t="s">
        <v>106</v>
      </c>
      <c r="E92" s="9">
        <f>D8</f>
        <v>3.9830000000000001</v>
      </c>
    </row>
    <row r="93" spans="1:5" x14ac:dyDescent="0.25">
      <c r="A93" s="7" t="s">
        <v>33</v>
      </c>
      <c r="B93" s="32">
        <v>1</v>
      </c>
      <c r="C93" s="8" t="s">
        <v>74</v>
      </c>
      <c r="D93" s="8" t="s">
        <v>110</v>
      </c>
      <c r="E93" s="9">
        <f>D11</f>
        <v>4744.04</v>
      </c>
    </row>
    <row r="94" spans="1:5" x14ac:dyDescent="0.25">
      <c r="A94" s="7" t="s">
        <v>33</v>
      </c>
      <c r="B94" s="32">
        <v>2</v>
      </c>
      <c r="C94" s="8" t="s">
        <v>74</v>
      </c>
      <c r="D94" s="8" t="s">
        <v>110</v>
      </c>
      <c r="E94" s="9">
        <f>E46</f>
        <v>4779.04</v>
      </c>
    </row>
    <row r="95" spans="1:5" x14ac:dyDescent="0.25">
      <c r="A95" s="7" t="s">
        <v>33</v>
      </c>
      <c r="B95" s="32">
        <v>5</v>
      </c>
      <c r="C95" s="8" t="s">
        <v>74</v>
      </c>
      <c r="D95" s="8" t="s">
        <v>110</v>
      </c>
      <c r="E95" s="9">
        <f>E48</f>
        <v>4789.04</v>
      </c>
    </row>
    <row r="96" spans="1:5" x14ac:dyDescent="0.25">
      <c r="A96" s="7" t="s">
        <v>33</v>
      </c>
      <c r="B96" s="32">
        <v>8</v>
      </c>
      <c r="C96" s="8" t="s">
        <v>74</v>
      </c>
      <c r="D96" s="8" t="s">
        <v>110</v>
      </c>
      <c r="E96" s="9">
        <f>E42</f>
        <v>4744.04</v>
      </c>
    </row>
    <row r="97" spans="1:5" x14ac:dyDescent="0.25">
      <c r="A97" s="7" t="s">
        <v>33</v>
      </c>
      <c r="B97" s="32">
        <v>1</v>
      </c>
      <c r="C97" s="8" t="s">
        <v>31</v>
      </c>
      <c r="D97" s="8" t="s">
        <v>110</v>
      </c>
      <c r="E97" s="9">
        <f>E53+29</f>
        <v>4693.38</v>
      </c>
    </row>
    <row r="98" spans="1:5" x14ac:dyDescent="0.25">
      <c r="A98" s="7" t="s">
        <v>150</v>
      </c>
      <c r="B98" s="32">
        <v>1</v>
      </c>
      <c r="C98" s="8" t="s">
        <v>74</v>
      </c>
      <c r="D98" s="8" t="s">
        <v>126</v>
      </c>
      <c r="E98" s="9"/>
    </row>
    <row r="99" spans="1:5" x14ac:dyDescent="0.25">
      <c r="A99" s="7" t="s">
        <v>49</v>
      </c>
      <c r="B99" s="32">
        <v>1</v>
      </c>
      <c r="C99" s="8" t="s">
        <v>74</v>
      </c>
      <c r="D99" s="8" t="s">
        <v>132</v>
      </c>
      <c r="E99" s="9"/>
    </row>
    <row r="100" spans="1:5" x14ac:dyDescent="0.25">
      <c r="A100" s="7" t="s">
        <v>49</v>
      </c>
      <c r="B100" s="32">
        <v>4</v>
      </c>
      <c r="C100" s="8" t="s">
        <v>74</v>
      </c>
      <c r="D100" s="8" t="s">
        <v>132</v>
      </c>
      <c r="E100" s="9"/>
    </row>
    <row r="101" spans="1:5" x14ac:dyDescent="0.25">
      <c r="A101" s="7" t="s">
        <v>49</v>
      </c>
      <c r="B101" s="32">
        <v>8</v>
      </c>
      <c r="C101" s="8" t="s">
        <v>74</v>
      </c>
      <c r="D101" s="8" t="s">
        <v>132</v>
      </c>
      <c r="E101" s="9"/>
    </row>
    <row r="102" spans="1:5" ht="15.75" thickBot="1" x14ac:dyDescent="0.3">
      <c r="A102" s="16" t="s">
        <v>12</v>
      </c>
      <c r="B102" s="33">
        <v>1</v>
      </c>
      <c r="C102" s="17" t="s">
        <v>74</v>
      </c>
      <c r="D102" s="17" t="s">
        <v>142</v>
      </c>
      <c r="E102" s="18"/>
    </row>
    <row r="105" spans="1:5" ht="20.25" x14ac:dyDescent="0.3">
      <c r="A105" s="2" t="s">
        <v>151</v>
      </c>
    </row>
    <row r="107" spans="1:5" ht="19.5" thickBot="1" x14ac:dyDescent="0.35">
      <c r="A107" s="41" t="s">
        <v>28</v>
      </c>
    </row>
    <row r="108" spans="1:5" ht="16.5" thickBot="1" x14ac:dyDescent="0.3">
      <c r="A108" s="38" t="s">
        <v>74</v>
      </c>
    </row>
    <row r="109" spans="1:5" ht="15.75" x14ac:dyDescent="0.25">
      <c r="A109" s="36"/>
      <c r="B109" s="34" t="s">
        <v>152</v>
      </c>
    </row>
    <row r="110" spans="1:5" ht="15.75" thickBot="1" x14ac:dyDescent="0.3">
      <c r="A110" s="54">
        <f ca="1">TODAY()</f>
        <v>44963</v>
      </c>
      <c r="B110" s="53">
        <f>D5</f>
        <v>41.247999999999998</v>
      </c>
    </row>
    <row r="111" spans="1:5" ht="15.75" thickBot="1" x14ac:dyDescent="0.3">
      <c r="A111" s="37"/>
    </row>
    <row r="112" spans="1:5" ht="15.75" thickBot="1" x14ac:dyDescent="0.3">
      <c r="A112" s="39" t="s">
        <v>31</v>
      </c>
    </row>
    <row r="113" spans="1:8" x14ac:dyDescent="0.25">
      <c r="A113" s="40"/>
      <c r="B113" s="34" t="s">
        <v>152</v>
      </c>
    </row>
    <row r="114" spans="1:8" ht="15.75" thickBot="1" x14ac:dyDescent="0.3">
      <c r="A114" s="54">
        <f ca="1">TODAY()</f>
        <v>44963</v>
      </c>
      <c r="B114" s="35">
        <f>D17</f>
        <v>0</v>
      </c>
    </row>
    <row r="115" spans="1:8" x14ac:dyDescent="0.25">
      <c r="A115" s="76"/>
      <c r="B115" s="76"/>
      <c r="C115" s="76"/>
      <c r="D115" s="76"/>
      <c r="E115" s="76"/>
      <c r="F115" s="76"/>
      <c r="G115" s="76"/>
      <c r="H115" s="76"/>
    </row>
    <row r="116" spans="1:8" ht="18.75" x14ac:dyDescent="0.3">
      <c r="A116" s="41" t="s">
        <v>4</v>
      </c>
    </row>
    <row r="117" spans="1:8" ht="15.75" thickBot="1" x14ac:dyDescent="0.3"/>
    <row r="118" spans="1:8" s="44" customFormat="1" ht="30" customHeight="1" thickBot="1" x14ac:dyDescent="0.3">
      <c r="A118" s="74"/>
      <c r="B118" s="42" t="s">
        <v>153</v>
      </c>
      <c r="C118" s="42" t="s">
        <v>154</v>
      </c>
      <c r="D118" s="42" t="s">
        <v>155</v>
      </c>
      <c r="E118" s="42" t="s">
        <v>156</v>
      </c>
      <c r="F118" s="42" t="s">
        <v>157</v>
      </c>
      <c r="G118" s="42" t="s">
        <v>158</v>
      </c>
      <c r="H118" s="43" t="s">
        <v>159</v>
      </c>
    </row>
    <row r="119" spans="1:8" ht="15.75" thickBot="1" x14ac:dyDescent="0.3">
      <c r="A119" s="55">
        <f ca="1">TODAY()</f>
        <v>44963</v>
      </c>
      <c r="B119" s="50" t="s">
        <v>160</v>
      </c>
      <c r="C119" s="51">
        <f>D6</f>
        <v>944.75</v>
      </c>
      <c r="D119" s="51">
        <f>E31</f>
        <v>982.54</v>
      </c>
      <c r="E119" s="51">
        <f>E32</f>
        <v>944.03700000000003</v>
      </c>
      <c r="F119" s="51">
        <f>D7</f>
        <v>925.59</v>
      </c>
      <c r="G119" s="51">
        <f>E34</f>
        <v>962.61360000000002</v>
      </c>
      <c r="H119" s="52">
        <f>E35</f>
        <v>918.85799999999995</v>
      </c>
    </row>
    <row r="120" spans="1:8" x14ac:dyDescent="0.25">
      <c r="A120" s="76"/>
      <c r="B120" s="76"/>
      <c r="C120" s="76"/>
      <c r="D120" s="76"/>
      <c r="E120" s="76"/>
      <c r="F120" s="76"/>
      <c r="G120" s="76"/>
      <c r="H120" s="76"/>
    </row>
    <row r="121" spans="1:8" ht="18.75" x14ac:dyDescent="0.3">
      <c r="A121" s="41" t="s">
        <v>55</v>
      </c>
    </row>
    <row r="123" spans="1:8" ht="15.75" thickBot="1" x14ac:dyDescent="0.3">
      <c r="A123" s="63" t="s">
        <v>67</v>
      </c>
      <c r="B123"/>
      <c r="C123"/>
      <c r="D123"/>
      <c r="E123"/>
    </row>
    <row r="124" spans="1:8" s="65" customFormat="1" ht="24.75" thickBot="1" x14ac:dyDescent="0.25">
      <c r="B124" s="69" t="s">
        <v>161</v>
      </c>
      <c r="C124" s="70" t="s">
        <v>162</v>
      </c>
      <c r="D124" s="64"/>
      <c r="E124" s="64"/>
    </row>
    <row r="125" spans="1:8" s="65" customFormat="1" ht="13.5" thickBot="1" x14ac:dyDescent="0.25">
      <c r="A125" s="55">
        <f ca="1">TODAY()</f>
        <v>44963</v>
      </c>
      <c r="B125" s="67"/>
      <c r="C125" s="68"/>
      <c r="D125" s="66"/>
      <c r="E125" s="64"/>
    </row>
    <row r="126" spans="1:8" x14ac:dyDescent="0.25">
      <c r="A126" s="60"/>
      <c r="B126" s="60"/>
      <c r="C126"/>
      <c r="D126" s="59"/>
      <c r="E126" s="59"/>
    </row>
    <row r="127" spans="1:8" ht="15.75" thickBot="1" x14ac:dyDescent="0.3">
      <c r="A127" s="63" t="s">
        <v>163</v>
      </c>
      <c r="B127"/>
      <c r="C127"/>
      <c r="D127"/>
      <c r="E127"/>
    </row>
    <row r="128" spans="1:8" s="65" customFormat="1" ht="13.5" thickBot="1" x14ac:dyDescent="0.25">
      <c r="B128" s="69" t="s">
        <v>164</v>
      </c>
      <c r="C128" s="73" t="s">
        <v>165</v>
      </c>
      <c r="D128" s="73" t="s">
        <v>166</v>
      </c>
      <c r="E128" s="73" t="s">
        <v>167</v>
      </c>
      <c r="F128" s="70" t="s">
        <v>168</v>
      </c>
    </row>
    <row r="129" spans="1:8" s="65" customFormat="1" ht="13.5" thickBot="1" x14ac:dyDescent="0.25">
      <c r="A129" s="55">
        <f ca="1">TODAY()</f>
        <v>44963</v>
      </c>
      <c r="B129" s="67"/>
      <c r="C129" s="71"/>
      <c r="D129" s="67"/>
      <c r="E129" s="71"/>
      <c r="F129" s="72"/>
    </row>
    <row r="130" spans="1:8" x14ac:dyDescent="0.25">
      <c r="A130" s="61"/>
      <c r="B130" s="62"/>
      <c r="C130" s="61"/>
      <c r="D130" s="62"/>
      <c r="E130"/>
    </row>
    <row r="131" spans="1:8" ht="15.75" thickBot="1" x14ac:dyDescent="0.3">
      <c r="A131" s="63" t="s">
        <v>146</v>
      </c>
      <c r="B131"/>
      <c r="C131"/>
      <c r="D131"/>
      <c r="E131"/>
    </row>
    <row r="132" spans="1:8" s="65" customFormat="1" ht="13.5" thickBot="1" x14ac:dyDescent="0.25">
      <c r="B132" s="75" t="s">
        <v>164</v>
      </c>
      <c r="C132" s="64"/>
      <c r="D132" s="64"/>
      <c r="E132" s="64"/>
    </row>
    <row r="133" spans="1:8" s="65" customFormat="1" ht="13.5" thickBot="1" x14ac:dyDescent="0.25">
      <c r="A133" s="55">
        <f ca="1">TODAY()</f>
        <v>44963</v>
      </c>
      <c r="B133" s="68"/>
      <c r="C133" s="66"/>
      <c r="D133" s="64"/>
      <c r="E133" s="64"/>
    </row>
    <row r="134" spans="1:8" x14ac:dyDescent="0.25">
      <c r="A134" s="76"/>
      <c r="B134" s="76"/>
      <c r="C134" s="76"/>
      <c r="D134" s="76"/>
      <c r="E134" s="76"/>
      <c r="F134" s="76"/>
      <c r="G134" s="76"/>
      <c r="H134" s="76"/>
    </row>
  </sheetData>
  <mergeCells count="1">
    <mergeCell ref="A1:D1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A1:AS134"/>
  <sheetViews>
    <sheetView showGridLines="0" tabSelected="1" zoomScale="85" zoomScaleNormal="85" workbookViewId="0">
      <selection activeCell="P33" sqref="P33"/>
    </sheetView>
  </sheetViews>
  <sheetFormatPr baseColWidth="10" defaultColWidth="10.85546875" defaultRowHeight="15" x14ac:dyDescent="0.25"/>
  <cols>
    <col min="1" max="1" width="12.7109375" style="1" bestFit="1" customWidth="1"/>
    <col min="2" max="2" width="12.7109375" style="1" customWidth="1"/>
    <col min="3" max="3" width="12.42578125" style="1" customWidth="1"/>
    <col min="4" max="4" width="10.7109375" style="1" customWidth="1"/>
    <col min="5" max="5" width="11.85546875" style="1" customWidth="1"/>
    <col min="6" max="6" width="9.28515625" style="37" customWidth="1"/>
    <col min="7" max="7" width="11.7109375" style="1" bestFit="1" customWidth="1"/>
    <col min="8" max="8" width="8.140625" style="1" customWidth="1"/>
    <col min="9" max="10" width="12.28515625" style="1" customWidth="1"/>
    <col min="11" max="11" width="7.7109375" style="1" customWidth="1"/>
    <col min="12" max="12" width="7.140625" style="179" customWidth="1"/>
    <col min="13" max="13" width="12.28515625" style="1" customWidth="1"/>
    <col min="14" max="14" width="10.28515625" style="1" customWidth="1"/>
    <col min="15" max="15" width="8" style="1" customWidth="1"/>
    <col min="16" max="16" width="13.140625" style="1" customWidth="1"/>
    <col min="17" max="17" width="10.85546875" style="1" customWidth="1"/>
    <col min="18" max="18" width="10.85546875" style="1"/>
    <col min="19" max="19" width="11.42578125" style="1" customWidth="1"/>
    <col min="20" max="20" width="12" style="1" customWidth="1"/>
    <col min="21" max="21" width="10.140625" style="1" customWidth="1"/>
    <col min="22" max="22" width="8.28515625" style="1" customWidth="1"/>
    <col min="23" max="23" width="19.42578125" style="1" customWidth="1"/>
    <col min="24" max="24" width="8.85546875" style="1" customWidth="1"/>
    <col min="25" max="25" width="8" style="1" customWidth="1"/>
    <col min="26" max="26" width="11.28515625" style="1" customWidth="1"/>
    <col min="27" max="27" width="16.28515625" style="1" customWidth="1"/>
    <col min="28" max="28" width="0" style="1" hidden="1" customWidth="1"/>
    <col min="29" max="29" width="19.7109375" style="1" hidden="1" customWidth="1"/>
    <col min="30" max="30" width="18.28515625" style="1" hidden="1" customWidth="1"/>
    <col min="31" max="31" width="17" style="1" hidden="1" customWidth="1"/>
    <col min="32" max="32" width="27.85546875" style="1" hidden="1" customWidth="1"/>
    <col min="33" max="33" width="17.140625" style="1" hidden="1" customWidth="1"/>
    <col min="34" max="34" width="28.85546875" style="1" hidden="1" customWidth="1"/>
    <col min="35" max="35" width="8.7109375" style="1" customWidth="1"/>
    <col min="36" max="36" width="9.140625" style="1" customWidth="1"/>
    <col min="37" max="37" width="8.140625" style="1" customWidth="1"/>
    <col min="38" max="38" width="11" style="1" customWidth="1"/>
    <col min="39" max="39" width="11.42578125" style="1" customWidth="1"/>
    <col min="40" max="16384" width="10.85546875" style="1"/>
  </cols>
  <sheetData>
    <row r="1" spans="1:43" ht="26.25" x14ac:dyDescent="0.4">
      <c r="A1" s="286" t="s">
        <v>66</v>
      </c>
      <c r="B1" s="286"/>
      <c r="C1" s="286"/>
      <c r="D1" s="286"/>
      <c r="E1" s="286"/>
      <c r="F1" s="286"/>
      <c r="G1" s="37"/>
    </row>
    <row r="2" spans="1:43" ht="15.75" thickBot="1" x14ac:dyDescent="0.3"/>
    <row r="3" spans="1:43" ht="21" thickBot="1" x14ac:dyDescent="0.35">
      <c r="A3" s="2" t="s">
        <v>67</v>
      </c>
      <c r="B3" s="2"/>
      <c r="C3" s="2"/>
      <c r="I3" s="2" t="s">
        <v>91</v>
      </c>
      <c r="J3" s="2"/>
      <c r="S3" s="2" t="s">
        <v>91</v>
      </c>
      <c r="T3" s="2"/>
      <c r="U3" s="2"/>
      <c r="V3" s="2"/>
      <c r="AC3" s="113" t="s">
        <v>169</v>
      </c>
      <c r="AD3" s="112">
        <f ca="1">+TODAY()</f>
        <v>44963</v>
      </c>
      <c r="AE3" s="77"/>
      <c r="AF3" s="77"/>
      <c r="AG3" s="77"/>
      <c r="AI3" s="2" t="s">
        <v>146</v>
      </c>
      <c r="AJ3" s="2"/>
      <c r="AK3" s="2"/>
    </row>
    <row r="4" spans="1:43" ht="15.75" thickBot="1" x14ac:dyDescent="0.3">
      <c r="A4" s="3" t="s">
        <v>68</v>
      </c>
      <c r="B4" s="3" t="s">
        <v>70</v>
      </c>
      <c r="C4" s="4" t="s">
        <v>71</v>
      </c>
      <c r="D4" s="3" t="s">
        <v>239</v>
      </c>
      <c r="E4" s="3" t="s">
        <v>69</v>
      </c>
      <c r="F4" s="163" t="s">
        <v>204</v>
      </c>
      <c r="G4" s="263"/>
      <c r="I4" s="19" t="s">
        <v>68</v>
      </c>
      <c r="J4" s="19" t="s">
        <v>241</v>
      </c>
      <c r="K4" s="19" t="s">
        <v>242</v>
      </c>
      <c r="L4" s="180" t="s">
        <v>2</v>
      </c>
      <c r="M4" s="19" t="s">
        <v>238</v>
      </c>
      <c r="N4" s="19" t="s">
        <v>230</v>
      </c>
      <c r="O4" s="20" t="s">
        <v>231</v>
      </c>
      <c r="P4" s="19" t="s">
        <v>232</v>
      </c>
      <c r="S4" s="19" t="s">
        <v>68</v>
      </c>
      <c r="T4" s="19" t="s">
        <v>241</v>
      </c>
      <c r="U4" s="19" t="s">
        <v>242</v>
      </c>
      <c r="V4" s="180" t="s">
        <v>2</v>
      </c>
      <c r="W4" s="19" t="s">
        <v>92</v>
      </c>
      <c r="X4" s="19" t="s">
        <v>93</v>
      </c>
      <c r="Y4" s="20" t="s">
        <v>94</v>
      </c>
      <c r="Z4" s="19" t="s">
        <v>71</v>
      </c>
      <c r="AI4" s="26" t="s">
        <v>68</v>
      </c>
      <c r="AJ4" s="27" t="s">
        <v>148</v>
      </c>
      <c r="AK4" s="27" t="s">
        <v>149</v>
      </c>
      <c r="AL4" s="27" t="s">
        <v>237</v>
      </c>
      <c r="AM4" s="3" t="s">
        <v>239</v>
      </c>
      <c r="AN4" s="27" t="s">
        <v>240</v>
      </c>
      <c r="AO4" s="28" t="s">
        <v>71</v>
      </c>
    </row>
    <row r="5" spans="1:43" ht="15.75" thickBot="1" x14ac:dyDescent="0.3">
      <c r="A5" s="5" t="s">
        <v>72</v>
      </c>
      <c r="B5" s="6" t="s">
        <v>74</v>
      </c>
      <c r="C5" s="243">
        <f>+Datos!C4</f>
        <v>38.680999999999997</v>
      </c>
      <c r="D5" s="6"/>
      <c r="E5" s="6" t="s">
        <v>73</v>
      </c>
      <c r="F5" s="172" t="s">
        <v>335</v>
      </c>
      <c r="G5" s="184"/>
      <c r="I5" s="21" t="s">
        <v>95</v>
      </c>
      <c r="J5" s="151" t="s">
        <v>184</v>
      </c>
      <c r="K5" s="22" t="s">
        <v>182</v>
      </c>
      <c r="L5" s="181" t="s">
        <v>183</v>
      </c>
      <c r="M5" s="22" t="s">
        <v>96</v>
      </c>
      <c r="N5" s="22" t="s">
        <v>97</v>
      </c>
      <c r="O5" s="22" t="s">
        <v>74</v>
      </c>
      <c r="P5" s="139">
        <f>1/C5</f>
        <v>2.5852485716501644E-2</v>
      </c>
      <c r="R5" s="184" t="s">
        <v>236</v>
      </c>
      <c r="S5" s="23" t="s">
        <v>128</v>
      </c>
      <c r="T5" s="178" t="s">
        <v>235</v>
      </c>
      <c r="U5" s="22" t="s">
        <v>233</v>
      </c>
      <c r="V5" s="181" t="s">
        <v>183</v>
      </c>
      <c r="W5" s="24" t="s">
        <v>129</v>
      </c>
      <c r="X5" s="24" t="s">
        <v>31</v>
      </c>
      <c r="Y5" s="24" t="s">
        <v>74</v>
      </c>
      <c r="Z5" s="115"/>
      <c r="AA5" s="184" t="s">
        <v>227</v>
      </c>
      <c r="AC5" s="3" t="s">
        <v>68</v>
      </c>
      <c r="AD5" s="3" t="s">
        <v>69</v>
      </c>
      <c r="AE5" s="3" t="s">
        <v>70</v>
      </c>
      <c r="AF5" s="78" t="s">
        <v>170</v>
      </c>
      <c r="AG5" s="4" t="s">
        <v>71</v>
      </c>
      <c r="AI5" s="188">
        <v>77</v>
      </c>
      <c r="AJ5" s="31" t="s">
        <v>74</v>
      </c>
      <c r="AK5" s="31" t="s">
        <v>97</v>
      </c>
      <c r="AL5" s="186">
        <v>1</v>
      </c>
      <c r="AM5" s="191" t="s">
        <v>356</v>
      </c>
      <c r="AN5" s="31"/>
      <c r="AO5" s="251">
        <f>+P6</f>
        <v>38.680999999999997</v>
      </c>
      <c r="AP5" s="184" t="s">
        <v>243</v>
      </c>
      <c r="AQ5" s="184"/>
    </row>
    <row r="6" spans="1:43" x14ac:dyDescent="0.25">
      <c r="A6" s="7" t="s">
        <v>76</v>
      </c>
      <c r="B6" s="8" t="s">
        <v>74</v>
      </c>
      <c r="C6" s="193">
        <f>+Datos!C8</f>
        <v>804.28</v>
      </c>
      <c r="D6" s="8"/>
      <c r="E6" s="8" t="s">
        <v>73</v>
      </c>
      <c r="F6" s="260" t="s">
        <v>335</v>
      </c>
      <c r="G6" s="184"/>
      <c r="I6" s="23" t="s">
        <v>95</v>
      </c>
      <c r="J6" s="151" t="s">
        <v>184</v>
      </c>
      <c r="K6" s="22" t="s">
        <v>182</v>
      </c>
      <c r="L6" s="181" t="s">
        <v>183</v>
      </c>
      <c r="M6" s="24" t="s">
        <v>96</v>
      </c>
      <c r="N6" s="24" t="s">
        <v>74</v>
      </c>
      <c r="O6" s="24" t="s">
        <v>97</v>
      </c>
      <c r="P6" s="139">
        <f>+C5</f>
        <v>38.680999999999997</v>
      </c>
      <c r="S6" s="23" t="s">
        <v>130</v>
      </c>
      <c r="T6" s="178" t="s">
        <v>234</v>
      </c>
      <c r="U6" s="22" t="s">
        <v>182</v>
      </c>
      <c r="V6" s="181" t="s">
        <v>183</v>
      </c>
      <c r="W6" s="24" t="s">
        <v>131</v>
      </c>
      <c r="X6" s="24" t="s">
        <v>132</v>
      </c>
      <c r="Y6" s="24" t="s">
        <v>74</v>
      </c>
      <c r="Z6" s="115"/>
      <c r="AA6" s="184" t="s">
        <v>228</v>
      </c>
      <c r="AC6" s="5" t="s">
        <v>72</v>
      </c>
      <c r="AD6" s="6" t="s">
        <v>73</v>
      </c>
      <c r="AE6" s="6" t="s">
        <v>74</v>
      </c>
      <c r="AF6" s="141" t="s">
        <v>215</v>
      </c>
      <c r="AG6" s="79" t="s">
        <v>214</v>
      </c>
      <c r="AI6" s="189">
        <v>70</v>
      </c>
      <c r="AJ6" s="8" t="s">
        <v>74</v>
      </c>
      <c r="AK6" s="8" t="s">
        <v>100</v>
      </c>
      <c r="AL6" s="187">
        <v>1</v>
      </c>
      <c r="AM6" s="191" t="s">
        <v>356</v>
      </c>
      <c r="AN6" s="191" t="s">
        <v>357</v>
      </c>
      <c r="AO6" s="140">
        <f>+P7</f>
        <v>836.45119999999997</v>
      </c>
      <c r="AP6" s="184"/>
      <c r="AQ6" s="184"/>
    </row>
    <row r="7" spans="1:43" x14ac:dyDescent="0.25">
      <c r="A7" s="7" t="s">
        <v>76</v>
      </c>
      <c r="B7" s="8" t="s">
        <v>31</v>
      </c>
      <c r="C7" s="193">
        <f>+Datos!C9</f>
        <v>873.08</v>
      </c>
      <c r="D7" s="8"/>
      <c r="E7" s="8" t="s">
        <v>73</v>
      </c>
      <c r="F7" s="261" t="s">
        <v>335</v>
      </c>
      <c r="G7" s="184"/>
      <c r="I7" s="23" t="s">
        <v>98</v>
      </c>
      <c r="J7" s="178" t="s">
        <v>191</v>
      </c>
      <c r="K7" s="22" t="s">
        <v>182</v>
      </c>
      <c r="L7" s="181" t="s">
        <v>183</v>
      </c>
      <c r="M7" s="24" t="s">
        <v>99</v>
      </c>
      <c r="N7" s="24" t="s">
        <v>74</v>
      </c>
      <c r="O7" s="24" t="s">
        <v>100</v>
      </c>
      <c r="P7" s="114">
        <f>+(C6*4%)+C6</f>
        <v>836.45119999999997</v>
      </c>
      <c r="S7" s="23" t="s">
        <v>130</v>
      </c>
      <c r="T7" s="178" t="s">
        <v>234</v>
      </c>
      <c r="U7" s="22" t="s">
        <v>182</v>
      </c>
      <c r="V7" s="181" t="s">
        <v>183</v>
      </c>
      <c r="W7" s="24" t="s">
        <v>133</v>
      </c>
      <c r="X7" s="24" t="s">
        <v>132</v>
      </c>
      <c r="Y7" s="24" t="s">
        <v>74</v>
      </c>
      <c r="Z7" s="115"/>
      <c r="AA7" s="184" t="s">
        <v>228</v>
      </c>
      <c r="AC7" s="7" t="s">
        <v>76</v>
      </c>
      <c r="AD7" s="8" t="s">
        <v>73</v>
      </c>
      <c r="AE7" s="8" t="s">
        <v>74</v>
      </c>
      <c r="AF7" s="142" t="s">
        <v>219</v>
      </c>
      <c r="AG7" s="80" t="s">
        <v>220</v>
      </c>
      <c r="AI7" s="189">
        <v>70</v>
      </c>
      <c r="AJ7" s="8" t="s">
        <v>74</v>
      </c>
      <c r="AK7" s="8" t="s">
        <v>100</v>
      </c>
      <c r="AL7" s="187">
        <v>3</v>
      </c>
      <c r="AM7" s="191" t="s">
        <v>356</v>
      </c>
      <c r="AN7" s="191" t="s">
        <v>357</v>
      </c>
      <c r="AO7" s="140">
        <f>+C6</f>
        <v>804.28</v>
      </c>
      <c r="AP7" s="184"/>
      <c r="AQ7" s="184"/>
    </row>
    <row r="8" spans="1:43" x14ac:dyDescent="0.25">
      <c r="A8" s="7" t="s">
        <v>77</v>
      </c>
      <c r="B8" s="8" t="s">
        <v>74</v>
      </c>
      <c r="C8" s="242">
        <f>+Datos!C6</f>
        <v>3.851</v>
      </c>
      <c r="D8" s="8"/>
      <c r="E8" s="8" t="s">
        <v>73</v>
      </c>
      <c r="F8" s="261" t="s">
        <v>335</v>
      </c>
      <c r="G8" s="184"/>
      <c r="I8" s="10" t="s">
        <v>98</v>
      </c>
      <c r="J8" s="160" t="s">
        <v>191</v>
      </c>
      <c r="K8" s="160" t="s">
        <v>182</v>
      </c>
      <c r="L8" s="160" t="s">
        <v>183</v>
      </c>
      <c r="M8" s="160" t="s">
        <v>101</v>
      </c>
      <c r="N8" s="160" t="s">
        <v>74</v>
      </c>
      <c r="O8" s="160" t="s">
        <v>100</v>
      </c>
      <c r="P8" s="244">
        <f>+Datos!G11</f>
        <v>804.30899999999997</v>
      </c>
      <c r="Q8" s="184" t="s">
        <v>85</v>
      </c>
      <c r="S8" s="23" t="s">
        <v>130</v>
      </c>
      <c r="T8" s="178" t="s">
        <v>234</v>
      </c>
      <c r="U8" s="22" t="s">
        <v>182</v>
      </c>
      <c r="V8" s="181" t="s">
        <v>183</v>
      </c>
      <c r="W8" s="24" t="s">
        <v>134</v>
      </c>
      <c r="X8" s="24" t="s">
        <v>132</v>
      </c>
      <c r="Y8" s="24" t="s">
        <v>74</v>
      </c>
      <c r="Z8" s="115"/>
      <c r="AA8" s="184" t="s">
        <v>228</v>
      </c>
      <c r="AC8" s="7" t="s">
        <v>76</v>
      </c>
      <c r="AD8" s="8" t="s">
        <v>73</v>
      </c>
      <c r="AE8" s="8" t="s">
        <v>31</v>
      </c>
      <c r="AF8" s="142" t="s">
        <v>219</v>
      </c>
      <c r="AG8" s="81" t="s">
        <v>221</v>
      </c>
      <c r="AI8" s="189">
        <v>70</v>
      </c>
      <c r="AJ8" s="8" t="s">
        <v>31</v>
      </c>
      <c r="AK8" s="8" t="s">
        <v>100</v>
      </c>
      <c r="AL8" s="187">
        <v>1</v>
      </c>
      <c r="AM8" s="191" t="s">
        <v>356</v>
      </c>
      <c r="AN8" s="191" t="s">
        <v>357</v>
      </c>
      <c r="AO8" s="138">
        <f>+P10</f>
        <v>908.00319999999999</v>
      </c>
      <c r="AP8" s="184"/>
      <c r="AQ8" s="184"/>
    </row>
    <row r="9" spans="1:43" x14ac:dyDescent="0.25">
      <c r="A9" s="7" t="s">
        <v>79</v>
      </c>
      <c r="B9" s="8" t="s">
        <v>74</v>
      </c>
      <c r="C9" s="193">
        <f>+P25</f>
        <v>4669.7</v>
      </c>
      <c r="D9" s="8"/>
      <c r="E9" s="8" t="s">
        <v>73</v>
      </c>
      <c r="F9" s="262" t="s">
        <v>335</v>
      </c>
      <c r="G9" s="184" t="s">
        <v>80</v>
      </c>
      <c r="I9" s="23" t="s">
        <v>98</v>
      </c>
      <c r="J9" s="178" t="s">
        <v>191</v>
      </c>
      <c r="K9" s="22" t="s">
        <v>182</v>
      </c>
      <c r="L9" s="181" t="s">
        <v>183</v>
      </c>
      <c r="M9" s="24" t="s">
        <v>103</v>
      </c>
      <c r="N9" s="24" t="s">
        <v>74</v>
      </c>
      <c r="O9" s="24" t="s">
        <v>100</v>
      </c>
      <c r="P9" s="114">
        <f>+C6</f>
        <v>804.28</v>
      </c>
      <c r="S9" s="23" t="s">
        <v>130</v>
      </c>
      <c r="T9" s="178" t="s">
        <v>234</v>
      </c>
      <c r="U9" s="22" t="s">
        <v>182</v>
      </c>
      <c r="V9" s="181" t="s">
        <v>183</v>
      </c>
      <c r="W9" s="24" t="s">
        <v>135</v>
      </c>
      <c r="X9" s="24" t="s">
        <v>132</v>
      </c>
      <c r="Y9" s="24" t="s">
        <v>74</v>
      </c>
      <c r="Z9" s="115"/>
      <c r="AA9" s="184" t="s">
        <v>228</v>
      </c>
      <c r="AC9" s="7" t="s">
        <v>77</v>
      </c>
      <c r="AD9" s="8" t="s">
        <v>73</v>
      </c>
      <c r="AE9" s="8" t="s">
        <v>74</v>
      </c>
      <c r="AF9" s="142" t="s">
        <v>222</v>
      </c>
      <c r="AG9" s="81">
        <v>3.8519999999999999</v>
      </c>
      <c r="AI9" s="189">
        <v>70</v>
      </c>
      <c r="AJ9" s="8" t="s">
        <v>31</v>
      </c>
      <c r="AK9" s="8" t="s">
        <v>100</v>
      </c>
      <c r="AL9" s="187">
        <v>3</v>
      </c>
      <c r="AM9" s="191" t="s">
        <v>356</v>
      </c>
      <c r="AN9" s="191" t="s">
        <v>357</v>
      </c>
      <c r="AO9" s="140">
        <f>+C7</f>
        <v>873.08</v>
      </c>
      <c r="AP9" s="184"/>
      <c r="AQ9" s="184"/>
    </row>
    <row r="10" spans="1:43" x14ac:dyDescent="0.25">
      <c r="A10" s="7" t="s">
        <v>82</v>
      </c>
      <c r="B10" s="8" t="s">
        <v>74</v>
      </c>
      <c r="C10" s="193">
        <f>+P25</f>
        <v>4669.7</v>
      </c>
      <c r="D10" s="8"/>
      <c r="E10" s="8" t="s">
        <v>73</v>
      </c>
      <c r="F10" s="261" t="s">
        <v>335</v>
      </c>
      <c r="G10" s="184" t="s">
        <v>80</v>
      </c>
      <c r="I10" s="23" t="s">
        <v>98</v>
      </c>
      <c r="J10" s="178" t="s">
        <v>191</v>
      </c>
      <c r="K10" s="22" t="s">
        <v>182</v>
      </c>
      <c r="L10" s="181" t="s">
        <v>183</v>
      </c>
      <c r="M10" s="24" t="s">
        <v>99</v>
      </c>
      <c r="N10" s="24" t="s">
        <v>31</v>
      </c>
      <c r="O10" s="24" t="s">
        <v>100</v>
      </c>
      <c r="P10" s="115">
        <f>+(C7*4%)+C7</f>
        <v>908.00319999999999</v>
      </c>
      <c r="S10" s="23" t="s">
        <v>130</v>
      </c>
      <c r="T10" s="178" t="s">
        <v>234</v>
      </c>
      <c r="U10" s="178" t="s">
        <v>233</v>
      </c>
      <c r="V10" s="181" t="s">
        <v>183</v>
      </c>
      <c r="W10" s="24" t="s">
        <v>136</v>
      </c>
      <c r="X10" s="24" t="s">
        <v>132</v>
      </c>
      <c r="Y10" s="24" t="s">
        <v>74</v>
      </c>
      <c r="Z10" s="115"/>
      <c r="AA10" s="184" t="s">
        <v>228</v>
      </c>
      <c r="AC10" s="7" t="s">
        <v>77</v>
      </c>
      <c r="AD10" s="8" t="s">
        <v>73</v>
      </c>
      <c r="AE10" s="8" t="s">
        <v>212</v>
      </c>
      <c r="AF10" s="142" t="s">
        <v>222</v>
      </c>
      <c r="AG10" s="81">
        <v>4.2789999999999999</v>
      </c>
      <c r="AI10" s="189">
        <v>83</v>
      </c>
      <c r="AJ10" s="8" t="s">
        <v>74</v>
      </c>
      <c r="AK10" s="8" t="s">
        <v>106</v>
      </c>
      <c r="AL10" s="187">
        <v>1</v>
      </c>
      <c r="AM10" s="191" t="s">
        <v>356</v>
      </c>
      <c r="AN10" s="191" t="s">
        <v>357</v>
      </c>
      <c r="AO10" s="253">
        <f>+C8</f>
        <v>3.851</v>
      </c>
      <c r="AP10" s="184"/>
      <c r="AQ10" s="184"/>
    </row>
    <row r="11" spans="1:43" x14ac:dyDescent="0.25">
      <c r="A11" s="7" t="s">
        <v>83</v>
      </c>
      <c r="B11" s="8" t="s">
        <v>74</v>
      </c>
      <c r="C11" s="193">
        <f>+Datos!C3</f>
        <v>558.29</v>
      </c>
      <c r="D11" s="8"/>
      <c r="E11" s="8" t="s">
        <v>73</v>
      </c>
      <c r="F11" s="259" t="s">
        <v>335</v>
      </c>
      <c r="G11" s="184"/>
      <c r="I11" s="10" t="s">
        <v>98</v>
      </c>
      <c r="J11" s="160" t="s">
        <v>191</v>
      </c>
      <c r="K11" s="160" t="s">
        <v>182</v>
      </c>
      <c r="L11" s="160" t="s">
        <v>183</v>
      </c>
      <c r="M11" s="160" t="s">
        <v>101</v>
      </c>
      <c r="N11" s="160" t="s">
        <v>31</v>
      </c>
      <c r="O11" s="160" t="s">
        <v>100</v>
      </c>
      <c r="P11" s="244">
        <f>+Datos!G12</f>
        <v>872.63499999999999</v>
      </c>
      <c r="Q11" s="184" t="s">
        <v>85</v>
      </c>
      <c r="S11" s="23" t="s">
        <v>130</v>
      </c>
      <c r="T11" s="178" t="s">
        <v>234</v>
      </c>
      <c r="U11" s="22" t="s">
        <v>182</v>
      </c>
      <c r="V11" s="181" t="s">
        <v>183</v>
      </c>
      <c r="W11" s="24" t="s">
        <v>131</v>
      </c>
      <c r="X11" s="24" t="s">
        <v>74</v>
      </c>
      <c r="Y11" s="24" t="s">
        <v>132</v>
      </c>
      <c r="Z11" s="115"/>
      <c r="AA11" s="184" t="s">
        <v>228</v>
      </c>
      <c r="AC11" s="7" t="s">
        <v>79</v>
      </c>
      <c r="AD11" s="8" t="s">
        <v>73</v>
      </c>
      <c r="AE11" s="8" t="s">
        <v>74</v>
      </c>
      <c r="AF11" s="143">
        <f ca="1">+TODAY()</f>
        <v>44963</v>
      </c>
      <c r="AG11" s="81" t="e">
        <f>+Datos!#REF!</f>
        <v>#REF!</v>
      </c>
      <c r="AI11" s="189">
        <v>3</v>
      </c>
      <c r="AJ11" s="8" t="s">
        <v>74</v>
      </c>
      <c r="AK11" s="8" t="s">
        <v>126</v>
      </c>
      <c r="AL11" s="187">
        <v>1</v>
      </c>
      <c r="AM11" s="191" t="s">
        <v>356</v>
      </c>
      <c r="AN11" s="191" t="s">
        <v>357</v>
      </c>
      <c r="AO11" s="138">
        <f>+C11*100</f>
        <v>55829</v>
      </c>
      <c r="AP11" s="184" t="s">
        <v>243</v>
      </c>
      <c r="AQ11" s="184"/>
    </row>
    <row r="12" spans="1:43" x14ac:dyDescent="0.25">
      <c r="A12" s="7" t="s">
        <v>84</v>
      </c>
      <c r="B12" s="8" t="s">
        <v>74</v>
      </c>
      <c r="C12" s="157"/>
      <c r="D12" s="8"/>
      <c r="E12" s="8" t="s">
        <v>73</v>
      </c>
      <c r="F12" s="259" t="s">
        <v>335</v>
      </c>
      <c r="G12" s="184"/>
      <c r="I12" s="23" t="s">
        <v>98</v>
      </c>
      <c r="J12" s="178" t="s">
        <v>191</v>
      </c>
      <c r="K12" s="22" t="s">
        <v>182</v>
      </c>
      <c r="L12" s="181" t="s">
        <v>183</v>
      </c>
      <c r="M12" s="24" t="s">
        <v>103</v>
      </c>
      <c r="N12" s="24" t="s">
        <v>31</v>
      </c>
      <c r="O12" s="24" t="s">
        <v>100</v>
      </c>
      <c r="P12" s="114">
        <f>+C7</f>
        <v>873.08</v>
      </c>
      <c r="S12" s="23" t="s">
        <v>130</v>
      </c>
      <c r="T12" s="178" t="s">
        <v>234</v>
      </c>
      <c r="U12" s="22" t="s">
        <v>182</v>
      </c>
      <c r="V12" s="181" t="s">
        <v>183</v>
      </c>
      <c r="W12" s="24" t="s">
        <v>133</v>
      </c>
      <c r="X12" s="24" t="s">
        <v>74</v>
      </c>
      <c r="Y12" s="24" t="s">
        <v>132</v>
      </c>
      <c r="Z12" s="115"/>
      <c r="AA12" s="184" t="s">
        <v>228</v>
      </c>
      <c r="AC12" s="7" t="s">
        <v>82</v>
      </c>
      <c r="AD12" s="8" t="s">
        <v>73</v>
      </c>
      <c r="AE12" s="8" t="s">
        <v>74</v>
      </c>
      <c r="AF12" s="143">
        <f ca="1">+TODAY()</f>
        <v>44963</v>
      </c>
      <c r="AG12" s="81" t="e">
        <f>+Datos!#REF!</f>
        <v>#REF!</v>
      </c>
      <c r="AI12" s="189">
        <v>75</v>
      </c>
      <c r="AJ12" s="8" t="s">
        <v>74</v>
      </c>
      <c r="AK12" s="8" t="s">
        <v>110</v>
      </c>
      <c r="AL12" s="187">
        <v>1</v>
      </c>
      <c r="AM12" s="191" t="s">
        <v>356</v>
      </c>
      <c r="AN12" s="232"/>
      <c r="AO12" s="254">
        <f>+P21</f>
        <v>4648.7</v>
      </c>
      <c r="AP12" s="184" t="s">
        <v>243</v>
      </c>
      <c r="AQ12" s="184"/>
    </row>
    <row r="13" spans="1:43" ht="15.75" thickBot="1" x14ac:dyDescent="0.3">
      <c r="A13" s="130" t="s">
        <v>84</v>
      </c>
      <c r="B13" s="131" t="s">
        <v>31</v>
      </c>
      <c r="C13" s="158"/>
      <c r="D13" s="131"/>
      <c r="E13" s="131" t="s">
        <v>73</v>
      </c>
      <c r="F13" s="264" t="s">
        <v>335</v>
      </c>
      <c r="G13" s="184"/>
      <c r="I13" s="23" t="s">
        <v>104</v>
      </c>
      <c r="J13" s="178" t="s">
        <v>193</v>
      </c>
      <c r="K13" s="22" t="s">
        <v>182</v>
      </c>
      <c r="L13" s="181" t="s">
        <v>183</v>
      </c>
      <c r="M13" s="24" t="s">
        <v>105</v>
      </c>
      <c r="N13" s="24" t="s">
        <v>74</v>
      </c>
      <c r="O13" s="24" t="s">
        <v>106</v>
      </c>
      <c r="P13" s="116">
        <f>+C8</f>
        <v>3.851</v>
      </c>
      <c r="Q13"/>
      <c r="S13" s="23" t="s">
        <v>130</v>
      </c>
      <c r="T13" s="178" t="s">
        <v>234</v>
      </c>
      <c r="U13" s="22" t="s">
        <v>182</v>
      </c>
      <c r="V13" s="181" t="s">
        <v>183</v>
      </c>
      <c r="W13" s="24" t="s">
        <v>134</v>
      </c>
      <c r="X13" s="24" t="s">
        <v>74</v>
      </c>
      <c r="Y13" s="24" t="s">
        <v>132</v>
      </c>
      <c r="Z13" s="115"/>
      <c r="AA13" s="184" t="s">
        <v>228</v>
      </c>
      <c r="AC13" s="7" t="s">
        <v>83</v>
      </c>
      <c r="AD13" s="8" t="s">
        <v>73</v>
      </c>
      <c r="AE13" s="8" t="s">
        <v>74</v>
      </c>
      <c r="AF13" s="144">
        <v>44889</v>
      </c>
      <c r="AG13" s="122" t="s">
        <v>223</v>
      </c>
      <c r="AI13" s="189">
        <v>75</v>
      </c>
      <c r="AJ13" s="8" t="s">
        <v>74</v>
      </c>
      <c r="AK13" s="8" t="s">
        <v>110</v>
      </c>
      <c r="AL13" s="187">
        <v>2</v>
      </c>
      <c r="AM13" s="191" t="s">
        <v>356</v>
      </c>
      <c r="AN13" s="232"/>
      <c r="AO13" s="254">
        <f>+P27</f>
        <v>4683.7</v>
      </c>
      <c r="AP13" s="184" t="s">
        <v>243</v>
      </c>
      <c r="AQ13" s="184"/>
    </row>
    <row r="14" spans="1:43" ht="15.75" thickBot="1" x14ac:dyDescent="0.3">
      <c r="A14" s="292" t="s">
        <v>78</v>
      </c>
      <c r="B14" s="292"/>
      <c r="C14" s="292"/>
      <c r="D14" s="292"/>
      <c r="E14" s="292"/>
      <c r="F14" s="293"/>
      <c r="G14" s="184"/>
      <c r="I14" s="23" t="s">
        <v>104</v>
      </c>
      <c r="J14" s="178" t="s">
        <v>193</v>
      </c>
      <c r="K14" s="22" t="s">
        <v>182</v>
      </c>
      <c r="L14" s="181" t="s">
        <v>183</v>
      </c>
      <c r="M14" s="24" t="s">
        <v>105</v>
      </c>
      <c r="N14" s="24" t="s">
        <v>106</v>
      </c>
      <c r="O14" s="24" t="s">
        <v>74</v>
      </c>
      <c r="P14" s="117">
        <f>1/C8</f>
        <v>0.25967281225655675</v>
      </c>
      <c r="S14" s="23" t="s">
        <v>130</v>
      </c>
      <c r="T14" s="178" t="s">
        <v>234</v>
      </c>
      <c r="U14" s="22" t="s">
        <v>182</v>
      </c>
      <c r="V14" s="181" t="s">
        <v>183</v>
      </c>
      <c r="W14" s="24" t="s">
        <v>135</v>
      </c>
      <c r="X14" s="24" t="s">
        <v>74</v>
      </c>
      <c r="Y14" s="24" t="s">
        <v>132</v>
      </c>
      <c r="Z14" s="115"/>
      <c r="AA14" s="184" t="s">
        <v>228</v>
      </c>
      <c r="AC14" s="7" t="s">
        <v>84</v>
      </c>
      <c r="AD14" s="8" t="s">
        <v>73</v>
      </c>
      <c r="AE14" s="8" t="s">
        <v>74</v>
      </c>
      <c r="AF14" s="142" t="s">
        <v>224</v>
      </c>
      <c r="AG14" s="79" t="s">
        <v>225</v>
      </c>
      <c r="AI14" s="189">
        <v>75</v>
      </c>
      <c r="AJ14" s="8" t="s">
        <v>74</v>
      </c>
      <c r="AK14" s="8" t="s">
        <v>110</v>
      </c>
      <c r="AL14" s="187">
        <v>5</v>
      </c>
      <c r="AM14" s="191" t="s">
        <v>356</v>
      </c>
      <c r="AN14" s="232"/>
      <c r="AO14" s="254">
        <f>+ExchRate!P29</f>
        <v>4693.7</v>
      </c>
      <c r="AP14" s="184" t="s">
        <v>243</v>
      </c>
      <c r="AQ14" s="184"/>
    </row>
    <row r="15" spans="1:43" ht="15.75" thickBot="1" x14ac:dyDescent="0.3">
      <c r="A15" s="7" t="s">
        <v>77</v>
      </c>
      <c r="B15" s="8" t="s">
        <v>74</v>
      </c>
      <c r="C15" s="242">
        <f>+Datos!C6</f>
        <v>3.851</v>
      </c>
      <c r="D15" s="177">
        <f ca="1">+TODAY()</f>
        <v>44963</v>
      </c>
      <c r="E15" s="131" t="s">
        <v>78</v>
      </c>
      <c r="F15" s="164"/>
      <c r="G15" s="184" t="s">
        <v>298</v>
      </c>
      <c r="I15" s="23" t="s">
        <v>104</v>
      </c>
      <c r="J15" s="178" t="s">
        <v>193</v>
      </c>
      <c r="K15" s="22" t="s">
        <v>182</v>
      </c>
      <c r="L15" s="181" t="s">
        <v>183</v>
      </c>
      <c r="M15" s="24" t="s">
        <v>105</v>
      </c>
      <c r="N15" s="24" t="s">
        <v>31</v>
      </c>
      <c r="O15" s="24" t="s">
        <v>74</v>
      </c>
      <c r="P15" s="117">
        <f>+P16/P13</f>
        <v>1.1113996364580629</v>
      </c>
      <c r="Q15"/>
      <c r="S15" s="23" t="s">
        <v>130</v>
      </c>
      <c r="T15" s="178" t="s">
        <v>234</v>
      </c>
      <c r="U15" s="178" t="s">
        <v>233</v>
      </c>
      <c r="V15" s="181" t="s">
        <v>183</v>
      </c>
      <c r="W15" s="24" t="s">
        <v>136</v>
      </c>
      <c r="X15" s="24" t="s">
        <v>74</v>
      </c>
      <c r="Y15" s="24" t="s">
        <v>132</v>
      </c>
      <c r="Z15" s="115"/>
      <c r="AA15" s="184" t="s">
        <v>228</v>
      </c>
      <c r="AC15" s="7" t="s">
        <v>84</v>
      </c>
      <c r="AD15" s="8" t="s">
        <v>73</v>
      </c>
      <c r="AE15" s="8" t="s">
        <v>31</v>
      </c>
      <c r="AF15" s="142" t="s">
        <v>224</v>
      </c>
      <c r="AG15" s="79" t="s">
        <v>226</v>
      </c>
      <c r="AI15" s="189">
        <v>75</v>
      </c>
      <c r="AJ15" s="8" t="s">
        <v>74</v>
      </c>
      <c r="AK15" s="8" t="s">
        <v>110</v>
      </c>
      <c r="AL15" s="187">
        <v>8</v>
      </c>
      <c r="AM15" s="191" t="s">
        <v>356</v>
      </c>
      <c r="AN15" s="232"/>
      <c r="AO15" s="254">
        <f>+P21</f>
        <v>4648.7</v>
      </c>
      <c r="AP15" s="184" t="s">
        <v>243</v>
      </c>
      <c r="AQ15" s="184"/>
    </row>
    <row r="16" spans="1:43" ht="15.75" thickBot="1" x14ac:dyDescent="0.3">
      <c r="A16" s="7" t="s">
        <v>77</v>
      </c>
      <c r="B16" s="8" t="s">
        <v>31</v>
      </c>
      <c r="C16" s="242">
        <f>+Datos!C7</f>
        <v>4.28</v>
      </c>
      <c r="D16" s="177">
        <f ca="1">+TODAY()</f>
        <v>44963</v>
      </c>
      <c r="E16" s="131" t="s">
        <v>78</v>
      </c>
      <c r="F16" s="164"/>
      <c r="G16" s="184" t="s">
        <v>298</v>
      </c>
      <c r="I16" s="23" t="s">
        <v>104</v>
      </c>
      <c r="J16" s="178" t="s">
        <v>193</v>
      </c>
      <c r="K16" s="22" t="s">
        <v>182</v>
      </c>
      <c r="L16" s="181" t="s">
        <v>183</v>
      </c>
      <c r="M16" s="24" t="s">
        <v>105</v>
      </c>
      <c r="N16" s="24" t="s">
        <v>31</v>
      </c>
      <c r="O16" s="24" t="s">
        <v>106</v>
      </c>
      <c r="P16" s="116">
        <f>+C16</f>
        <v>4.28</v>
      </c>
      <c r="Q16"/>
      <c r="S16" s="294" t="s">
        <v>229</v>
      </c>
      <c r="T16" s="292"/>
      <c r="U16" s="292"/>
      <c r="V16" s="292"/>
      <c r="W16" s="292"/>
      <c r="X16" s="292"/>
      <c r="Y16" s="292"/>
      <c r="Z16" s="295"/>
      <c r="AA16" s="184"/>
      <c r="AC16" s="173"/>
      <c r="AD16" s="174"/>
      <c r="AE16" s="174"/>
      <c r="AF16" s="175"/>
      <c r="AG16" s="176"/>
      <c r="AI16" s="189">
        <v>75</v>
      </c>
      <c r="AJ16" s="8" t="s">
        <v>74</v>
      </c>
      <c r="AK16" s="8" t="s">
        <v>110</v>
      </c>
      <c r="AL16" s="187" t="s">
        <v>327</v>
      </c>
      <c r="AM16" s="191" t="s">
        <v>356</v>
      </c>
      <c r="AN16" s="232"/>
      <c r="AO16" s="254">
        <f>+P22</f>
        <v>4704.4844000000003</v>
      </c>
      <c r="AP16" s="184"/>
      <c r="AQ16" s="184"/>
    </row>
    <row r="17" spans="1:45" ht="15.75" thickBot="1" x14ac:dyDescent="0.3">
      <c r="A17" s="7" t="s">
        <v>79</v>
      </c>
      <c r="B17" s="8" t="s">
        <v>74</v>
      </c>
      <c r="C17" s="193">
        <f>+Datos!C5</f>
        <v>4648.7</v>
      </c>
      <c r="D17" s="177">
        <f ca="1">+TODAY()</f>
        <v>44963</v>
      </c>
      <c r="E17" s="131" t="s">
        <v>78</v>
      </c>
      <c r="F17" s="164"/>
      <c r="I17" s="10" t="s">
        <v>104</v>
      </c>
      <c r="J17" s="160" t="s">
        <v>193</v>
      </c>
      <c r="K17" s="160" t="s">
        <v>233</v>
      </c>
      <c r="L17" s="160" t="s">
        <v>183</v>
      </c>
      <c r="M17" s="160" t="s">
        <v>105</v>
      </c>
      <c r="N17" s="160" t="s">
        <v>108</v>
      </c>
      <c r="O17" s="160" t="s">
        <v>74</v>
      </c>
      <c r="P17" s="245">
        <f>+Datos!G5</f>
        <v>0.14806</v>
      </c>
      <c r="Q17" s="184" t="s">
        <v>85</v>
      </c>
      <c r="S17" s="10" t="s">
        <v>137</v>
      </c>
      <c r="T17" s="160" t="s">
        <v>196</v>
      </c>
      <c r="U17" s="160" t="s">
        <v>182</v>
      </c>
      <c r="V17" s="160" t="s">
        <v>183</v>
      </c>
      <c r="W17" s="11" t="s">
        <v>138</v>
      </c>
      <c r="X17" s="11" t="s">
        <v>74</v>
      </c>
      <c r="Y17" s="11" t="s">
        <v>139</v>
      </c>
      <c r="Z17" s="118">
        <f>+Datos!C10+0.04</f>
        <v>0.04</v>
      </c>
      <c r="AA17" s="184" t="s">
        <v>189</v>
      </c>
      <c r="AC17" s="173"/>
      <c r="AD17" s="174"/>
      <c r="AE17" s="174"/>
      <c r="AF17" s="175"/>
      <c r="AG17" s="176"/>
      <c r="AI17" s="189">
        <v>75</v>
      </c>
      <c r="AJ17" s="8" t="s">
        <v>74</v>
      </c>
      <c r="AK17" s="8" t="s">
        <v>110</v>
      </c>
      <c r="AL17" s="187" t="s">
        <v>207</v>
      </c>
      <c r="AM17" s="191" t="s">
        <v>356</v>
      </c>
      <c r="AN17" s="232"/>
      <c r="AO17" s="254">
        <f>+P23</f>
        <v>4730.0522499999997</v>
      </c>
      <c r="AP17" s="184" t="s">
        <v>243</v>
      </c>
      <c r="AQ17" s="184"/>
    </row>
    <row r="18" spans="1:45" ht="15.75" thickBot="1" x14ac:dyDescent="0.3">
      <c r="A18" s="7" t="s">
        <v>82</v>
      </c>
      <c r="B18" s="8" t="s">
        <v>74</v>
      </c>
      <c r="C18" s="193">
        <f>+Datos!C5</f>
        <v>4648.7</v>
      </c>
      <c r="D18" s="177">
        <f ca="1">+TODAY()</f>
        <v>44963</v>
      </c>
      <c r="E18" s="131" t="s">
        <v>78</v>
      </c>
      <c r="F18" s="164"/>
      <c r="G18" s="184"/>
      <c r="I18" s="10" t="s">
        <v>104</v>
      </c>
      <c r="J18" s="160" t="s">
        <v>193</v>
      </c>
      <c r="K18" s="160" t="s">
        <v>182</v>
      </c>
      <c r="L18" s="160" t="s">
        <v>183</v>
      </c>
      <c r="M18" s="160" t="s">
        <v>101</v>
      </c>
      <c r="N18" s="160" t="s">
        <v>31</v>
      </c>
      <c r="O18" s="160" t="s">
        <v>74</v>
      </c>
      <c r="P18" s="245">
        <f>+Datos!G3</f>
        <v>1.0847899999999999</v>
      </c>
      <c r="Q18" s="184" t="s">
        <v>85</v>
      </c>
      <c r="S18" s="10" t="s">
        <v>140</v>
      </c>
      <c r="T18" s="160" t="s">
        <v>195</v>
      </c>
      <c r="U18" s="160" t="s">
        <v>182</v>
      </c>
      <c r="V18" s="160" t="s">
        <v>183</v>
      </c>
      <c r="W18" s="11" t="s">
        <v>141</v>
      </c>
      <c r="X18" s="11" t="s">
        <v>74</v>
      </c>
      <c r="Y18" s="11" t="s">
        <v>142</v>
      </c>
      <c r="Z18" s="118">
        <f>+Datos!C11</f>
        <v>0</v>
      </c>
      <c r="AA18" s="184" t="s">
        <v>189</v>
      </c>
      <c r="AC18" s="287" t="s">
        <v>213</v>
      </c>
      <c r="AD18" s="288"/>
      <c r="AE18" s="288"/>
      <c r="AF18" s="288"/>
      <c r="AG18" s="289"/>
      <c r="AI18" s="189">
        <v>75</v>
      </c>
      <c r="AJ18" s="8" t="s">
        <v>31</v>
      </c>
      <c r="AK18" s="8" t="s">
        <v>110</v>
      </c>
      <c r="AL18" s="187">
        <v>1</v>
      </c>
      <c r="AM18" s="191" t="s">
        <v>356</v>
      </c>
      <c r="AN18" s="232"/>
      <c r="AO18" s="282">
        <f>+P35+29</f>
        <v>5038.17</v>
      </c>
      <c r="AP18" s="184" t="s">
        <v>243</v>
      </c>
      <c r="AQ18" s="184"/>
    </row>
    <row r="19" spans="1:45" ht="15.75" thickBot="1" x14ac:dyDescent="0.3">
      <c r="A19" s="238" t="s">
        <v>213</v>
      </c>
      <c r="B19" s="239"/>
      <c r="C19" s="239"/>
      <c r="D19" s="239"/>
      <c r="E19" s="239"/>
      <c r="F19" s="240"/>
      <c r="I19" s="23" t="s">
        <v>124</v>
      </c>
      <c r="J19" s="178" t="s">
        <v>187</v>
      </c>
      <c r="K19" s="22" t="s">
        <v>182</v>
      </c>
      <c r="L19" s="181" t="s">
        <v>183</v>
      </c>
      <c r="M19" s="24" t="s">
        <v>125</v>
      </c>
      <c r="N19" s="24" t="s">
        <v>74</v>
      </c>
      <c r="O19" s="24" t="s">
        <v>126</v>
      </c>
      <c r="P19" s="117">
        <f>+C11</f>
        <v>558.29</v>
      </c>
      <c r="Q19" s="184"/>
      <c r="S19" s="10" t="s">
        <v>140</v>
      </c>
      <c r="T19" s="160" t="s">
        <v>195</v>
      </c>
      <c r="U19" s="160" t="s">
        <v>182</v>
      </c>
      <c r="V19" s="160" t="s">
        <v>183</v>
      </c>
      <c r="W19" s="11" t="s">
        <v>141</v>
      </c>
      <c r="X19" s="11" t="s">
        <v>123</v>
      </c>
      <c r="Y19" s="11" t="s">
        <v>142</v>
      </c>
      <c r="Z19" s="268">
        <f>+Datos!G13</f>
        <v>0.19592999999999999</v>
      </c>
      <c r="AA19" s="184" t="s">
        <v>189</v>
      </c>
      <c r="AC19" s="123" t="s">
        <v>72</v>
      </c>
      <c r="AD19" s="119" t="s">
        <v>73</v>
      </c>
      <c r="AE19" s="119" t="s">
        <v>31</v>
      </c>
      <c r="AF19" s="145" t="s">
        <v>215</v>
      </c>
      <c r="AG19" s="150">
        <v>40.703899999999997</v>
      </c>
      <c r="AI19" s="190">
        <v>6</v>
      </c>
      <c r="AJ19" s="17" t="s">
        <v>74</v>
      </c>
      <c r="AK19" s="17" t="s">
        <v>142</v>
      </c>
      <c r="AL19" s="156">
        <v>1</v>
      </c>
      <c r="AM19" s="191" t="s">
        <v>353</v>
      </c>
      <c r="AN19" s="191" t="s">
        <v>354</v>
      </c>
      <c r="AO19" s="18">
        <f>+(Z18*0.5%)+Z18</f>
        <v>0</v>
      </c>
      <c r="AP19" s="184" t="s">
        <v>243</v>
      </c>
      <c r="AQ19" s="184"/>
    </row>
    <row r="20" spans="1:45" x14ac:dyDescent="0.25">
      <c r="A20" s="132" t="s">
        <v>72</v>
      </c>
      <c r="B20" s="133" t="s">
        <v>31</v>
      </c>
      <c r="C20" s="159"/>
      <c r="D20" s="133"/>
      <c r="E20" s="133" t="s">
        <v>73</v>
      </c>
      <c r="F20" s="165"/>
      <c r="G20" s="184" t="s">
        <v>75</v>
      </c>
      <c r="I20" s="23" t="s">
        <v>124</v>
      </c>
      <c r="J20" s="178" t="s">
        <v>187</v>
      </c>
      <c r="K20" s="22" t="s">
        <v>182</v>
      </c>
      <c r="L20" s="181" t="s">
        <v>183</v>
      </c>
      <c r="M20" s="24" t="s">
        <v>127</v>
      </c>
      <c r="N20" s="24" t="s">
        <v>74</v>
      </c>
      <c r="O20" s="24" t="s">
        <v>126</v>
      </c>
      <c r="P20" s="194">
        <f>+C11</f>
        <v>558.29</v>
      </c>
      <c r="Q20" s="185"/>
      <c r="S20" s="10" t="s">
        <v>140</v>
      </c>
      <c r="T20" s="160" t="s">
        <v>195</v>
      </c>
      <c r="U20" s="160" t="s">
        <v>182</v>
      </c>
      <c r="V20" s="160" t="s">
        <v>183</v>
      </c>
      <c r="W20" s="11" t="s">
        <v>141</v>
      </c>
      <c r="X20" s="11" t="s">
        <v>108</v>
      </c>
      <c r="Y20" s="11" t="s">
        <v>142</v>
      </c>
      <c r="Z20" s="268">
        <f>+Datos!G14</f>
        <v>0</v>
      </c>
      <c r="AA20" s="184" t="s">
        <v>189</v>
      </c>
      <c r="AC20" s="123" t="s">
        <v>79</v>
      </c>
      <c r="AD20" s="119" t="s">
        <v>73</v>
      </c>
      <c r="AE20" s="119" t="s">
        <v>31</v>
      </c>
      <c r="AF20" s="146">
        <f ca="1">+TODAY()</f>
        <v>44963</v>
      </c>
      <c r="AG20" s="124"/>
      <c r="AI20" s="273">
        <v>71</v>
      </c>
      <c r="AJ20" s="274" t="s">
        <v>74</v>
      </c>
      <c r="AK20" s="274" t="s">
        <v>132</v>
      </c>
      <c r="AL20" s="275">
        <v>1</v>
      </c>
      <c r="AM20" s="191" t="s">
        <v>355</v>
      </c>
      <c r="AN20" s="274"/>
      <c r="AO20" s="276"/>
    </row>
    <row r="21" spans="1:45" x14ac:dyDescent="0.25">
      <c r="A21" s="10" t="s">
        <v>79</v>
      </c>
      <c r="B21" s="11" t="s">
        <v>31</v>
      </c>
      <c r="C21" s="160"/>
      <c r="D21" s="11"/>
      <c r="E21" s="11" t="s">
        <v>73</v>
      </c>
      <c r="F21" s="166"/>
      <c r="G21" s="184" t="s">
        <v>85</v>
      </c>
      <c r="I21" s="23" t="s">
        <v>109</v>
      </c>
      <c r="J21" s="178" t="s">
        <v>192</v>
      </c>
      <c r="K21" s="22" t="s">
        <v>182</v>
      </c>
      <c r="L21" s="181" t="s">
        <v>183</v>
      </c>
      <c r="M21" s="24" t="s">
        <v>35</v>
      </c>
      <c r="N21" s="24" t="s">
        <v>74</v>
      </c>
      <c r="O21" s="24" t="s">
        <v>110</v>
      </c>
      <c r="P21" s="194">
        <f>+C17</f>
        <v>4648.7</v>
      </c>
      <c r="Q21" s="185"/>
      <c r="S21" s="10" t="s">
        <v>140</v>
      </c>
      <c r="T21" s="160" t="s">
        <v>195</v>
      </c>
      <c r="U21" s="160" t="s">
        <v>182</v>
      </c>
      <c r="V21" s="160" t="s">
        <v>183</v>
      </c>
      <c r="W21" s="11" t="s">
        <v>141</v>
      </c>
      <c r="X21" s="11" t="s">
        <v>31</v>
      </c>
      <c r="Y21" s="11" t="s">
        <v>142</v>
      </c>
      <c r="Z21" s="268">
        <f>+Datos!G15</f>
        <v>0</v>
      </c>
      <c r="AA21" s="184" t="s">
        <v>189</v>
      </c>
      <c r="AC21" s="123" t="s">
        <v>82</v>
      </c>
      <c r="AD21" s="119" t="s">
        <v>73</v>
      </c>
      <c r="AE21" s="119" t="s">
        <v>31</v>
      </c>
      <c r="AF21" s="146">
        <f ca="1">+TODAY()</f>
        <v>44963</v>
      </c>
      <c r="AG21" s="124"/>
      <c r="AI21" s="273">
        <v>71</v>
      </c>
      <c r="AJ21" s="274" t="s">
        <v>74</v>
      </c>
      <c r="AK21" s="274" t="s">
        <v>132</v>
      </c>
      <c r="AL21" s="275">
        <v>4</v>
      </c>
      <c r="AM21" s="191" t="s">
        <v>355</v>
      </c>
      <c r="AN21" s="274"/>
      <c r="AO21" s="276"/>
    </row>
    <row r="22" spans="1:45" x14ac:dyDescent="0.25">
      <c r="A22" s="10" t="s">
        <v>82</v>
      </c>
      <c r="B22" s="11" t="s">
        <v>31</v>
      </c>
      <c r="C22" s="160"/>
      <c r="D22" s="11"/>
      <c r="E22" s="11" t="s">
        <v>73</v>
      </c>
      <c r="F22" s="166"/>
      <c r="I22" s="23" t="s">
        <v>109</v>
      </c>
      <c r="J22" s="178" t="s">
        <v>192</v>
      </c>
      <c r="K22" s="22" t="s">
        <v>182</v>
      </c>
      <c r="L22" s="181" t="s">
        <v>183</v>
      </c>
      <c r="M22" s="24" t="s">
        <v>328</v>
      </c>
      <c r="N22" s="24" t="s">
        <v>74</v>
      </c>
      <c r="O22" s="24" t="s">
        <v>110</v>
      </c>
      <c r="P22" s="194">
        <f>+C18*1.012</f>
        <v>4704.4844000000003</v>
      </c>
      <c r="Q22" s="185"/>
      <c r="S22" s="10" t="s">
        <v>140</v>
      </c>
      <c r="T22" s="160" t="s">
        <v>195</v>
      </c>
      <c r="U22" s="160" t="s">
        <v>182</v>
      </c>
      <c r="V22" s="160" t="s">
        <v>183</v>
      </c>
      <c r="W22" s="11" t="s">
        <v>141</v>
      </c>
      <c r="X22" s="11" t="s">
        <v>143</v>
      </c>
      <c r="Y22" s="11" t="s">
        <v>142</v>
      </c>
      <c r="Z22" s="268">
        <f>+Datos!G16</f>
        <v>0</v>
      </c>
      <c r="AA22" s="184" t="s">
        <v>189</v>
      </c>
      <c r="AC22" s="123" t="s">
        <v>86</v>
      </c>
      <c r="AD22" s="119" t="s">
        <v>73</v>
      </c>
      <c r="AE22" s="119" t="s">
        <v>74</v>
      </c>
      <c r="AF22" s="145"/>
      <c r="AG22" s="124"/>
      <c r="AI22" s="273">
        <v>71</v>
      </c>
      <c r="AJ22" s="274" t="s">
        <v>74</v>
      </c>
      <c r="AK22" s="274" t="s">
        <v>132</v>
      </c>
      <c r="AL22" s="275">
        <v>8</v>
      </c>
      <c r="AM22" s="191" t="s">
        <v>355</v>
      </c>
      <c r="AN22" s="274"/>
      <c r="AO22" s="276"/>
    </row>
    <row r="23" spans="1:45" x14ac:dyDescent="0.25">
      <c r="A23" s="10" t="s">
        <v>86</v>
      </c>
      <c r="B23" s="11" t="s">
        <v>74</v>
      </c>
      <c r="C23" s="160"/>
      <c r="D23" s="11"/>
      <c r="E23" s="11" t="s">
        <v>73</v>
      </c>
      <c r="F23" s="166"/>
      <c r="I23" s="23" t="s">
        <v>109</v>
      </c>
      <c r="J23" s="178" t="s">
        <v>192</v>
      </c>
      <c r="K23" s="22" t="s">
        <v>182</v>
      </c>
      <c r="L23" s="181" t="s">
        <v>183</v>
      </c>
      <c r="M23" s="24" t="s">
        <v>329</v>
      </c>
      <c r="N23" s="24" t="s">
        <v>74</v>
      </c>
      <c r="O23" s="24" t="s">
        <v>110</v>
      </c>
      <c r="P23" s="194">
        <f>+P21*1.0175</f>
        <v>4730.0522499999997</v>
      </c>
      <c r="Q23" s="185"/>
      <c r="S23" s="10" t="s">
        <v>140</v>
      </c>
      <c r="T23" s="160" t="s">
        <v>195</v>
      </c>
      <c r="U23" s="160" t="s">
        <v>182</v>
      </c>
      <c r="V23" s="160" t="s">
        <v>183</v>
      </c>
      <c r="W23" s="11" t="s">
        <v>141</v>
      </c>
      <c r="X23" s="11" t="s">
        <v>122</v>
      </c>
      <c r="Y23" s="11" t="s">
        <v>142</v>
      </c>
      <c r="Z23" s="118">
        <f>+Datos!G17</f>
        <v>0</v>
      </c>
      <c r="AA23" s="184" t="s">
        <v>189</v>
      </c>
      <c r="AC23" s="123" t="s">
        <v>87</v>
      </c>
      <c r="AD23" s="119" t="s">
        <v>73</v>
      </c>
      <c r="AE23" s="119" t="s">
        <v>74</v>
      </c>
      <c r="AF23" s="145"/>
      <c r="AG23" s="124"/>
    </row>
    <row r="24" spans="1:45" x14ac:dyDescent="0.25">
      <c r="A24" s="10" t="s">
        <v>87</v>
      </c>
      <c r="B24" s="11" t="s">
        <v>74</v>
      </c>
      <c r="C24" s="160"/>
      <c r="D24" s="11"/>
      <c r="E24" s="11" t="s">
        <v>73</v>
      </c>
      <c r="F24" s="167"/>
      <c r="I24" s="23" t="s">
        <v>109</v>
      </c>
      <c r="J24" s="178" t="s">
        <v>192</v>
      </c>
      <c r="K24" s="22" t="s">
        <v>182</v>
      </c>
      <c r="L24" s="181" t="s">
        <v>183</v>
      </c>
      <c r="M24" s="24" t="s">
        <v>111</v>
      </c>
      <c r="N24" s="24" t="s">
        <v>74</v>
      </c>
      <c r="O24" s="24" t="s">
        <v>110</v>
      </c>
      <c r="P24" s="194">
        <f>+P21+13</f>
        <v>4661.7</v>
      </c>
      <c r="Q24" s="185"/>
      <c r="S24" s="10" t="s">
        <v>140</v>
      </c>
      <c r="T24" s="160" t="s">
        <v>195</v>
      </c>
      <c r="U24" s="160" t="s">
        <v>182</v>
      </c>
      <c r="V24" s="160" t="s">
        <v>183</v>
      </c>
      <c r="W24" s="11" t="s">
        <v>141</v>
      </c>
      <c r="X24" s="11" t="s">
        <v>144</v>
      </c>
      <c r="Y24" s="11" t="s">
        <v>142</v>
      </c>
      <c r="Z24" s="245">
        <f>+Datos!G18</f>
        <v>0</v>
      </c>
      <c r="AA24" s="184" t="s">
        <v>189</v>
      </c>
      <c r="AC24" s="123" t="s">
        <v>88</v>
      </c>
      <c r="AD24" s="119" t="s">
        <v>73</v>
      </c>
      <c r="AE24" s="119" t="s">
        <v>74</v>
      </c>
      <c r="AF24" s="145"/>
      <c r="AG24" s="124"/>
    </row>
    <row r="25" spans="1:45" x14ac:dyDescent="0.25">
      <c r="A25" s="10" t="s">
        <v>88</v>
      </c>
      <c r="B25" s="11" t="s">
        <v>74</v>
      </c>
      <c r="C25" s="160"/>
      <c r="D25" s="11"/>
      <c r="E25" s="11" t="s">
        <v>73</v>
      </c>
      <c r="F25" s="167"/>
      <c r="I25" s="23" t="s">
        <v>109</v>
      </c>
      <c r="J25" s="178" t="s">
        <v>192</v>
      </c>
      <c r="K25" s="22" t="s">
        <v>182</v>
      </c>
      <c r="L25" s="181" t="s">
        <v>183</v>
      </c>
      <c r="M25" s="24" t="s">
        <v>112</v>
      </c>
      <c r="N25" s="24" t="s">
        <v>74</v>
      </c>
      <c r="O25" s="24" t="s">
        <v>110</v>
      </c>
      <c r="P25" s="194">
        <f>+P21+21</f>
        <v>4669.7</v>
      </c>
      <c r="Q25" s="185"/>
      <c r="S25" s="10" t="s">
        <v>140</v>
      </c>
      <c r="T25" s="160" t="s">
        <v>195</v>
      </c>
      <c r="U25" s="160" t="s">
        <v>182</v>
      </c>
      <c r="V25" s="160" t="s">
        <v>183</v>
      </c>
      <c r="W25" s="153" t="s">
        <v>141</v>
      </c>
      <c r="X25" s="11" t="s">
        <v>145</v>
      </c>
      <c r="Y25" s="11" t="s">
        <v>74</v>
      </c>
      <c r="Z25" s="154">
        <f>+Datos!G19</f>
        <v>0</v>
      </c>
      <c r="AA25" s="184" t="s">
        <v>189</v>
      </c>
      <c r="AC25" s="125" t="s">
        <v>89</v>
      </c>
      <c r="AD25" s="126" t="s">
        <v>73</v>
      </c>
      <c r="AE25" s="126" t="s">
        <v>74</v>
      </c>
      <c r="AF25" s="147"/>
      <c r="AG25" s="127"/>
    </row>
    <row r="26" spans="1:45" ht="15.75" thickBot="1" x14ac:dyDescent="0.3">
      <c r="A26" s="13" t="s">
        <v>89</v>
      </c>
      <c r="B26" s="14" t="s">
        <v>74</v>
      </c>
      <c r="C26" s="161"/>
      <c r="D26" s="14"/>
      <c r="E26" s="14" t="s">
        <v>73</v>
      </c>
      <c r="F26" s="168"/>
      <c r="I26" s="23" t="s">
        <v>109</v>
      </c>
      <c r="J26" s="178" t="s">
        <v>192</v>
      </c>
      <c r="K26" s="22" t="s">
        <v>182</v>
      </c>
      <c r="L26" s="181" t="s">
        <v>183</v>
      </c>
      <c r="M26" s="24" t="s">
        <v>113</v>
      </c>
      <c r="N26" s="24" t="s">
        <v>74</v>
      </c>
      <c r="O26" s="24" t="s">
        <v>110</v>
      </c>
      <c r="P26" s="194">
        <f>+P21+30</f>
        <v>4678.7</v>
      </c>
      <c r="Q26" s="185"/>
      <c r="S26" s="16" t="s">
        <v>140</v>
      </c>
      <c r="T26" s="17" t="s">
        <v>195</v>
      </c>
      <c r="U26" s="162" t="s">
        <v>182</v>
      </c>
      <c r="V26" s="162" t="s">
        <v>183</v>
      </c>
      <c r="W26" s="152" t="s">
        <v>141</v>
      </c>
      <c r="X26" s="155" t="s">
        <v>145</v>
      </c>
      <c r="Y26" s="156" t="s">
        <v>142</v>
      </c>
      <c r="Z26" s="269">
        <f>+Datos!G20</f>
        <v>0</v>
      </c>
      <c r="AA26" s="184" t="s">
        <v>189</v>
      </c>
      <c r="AC26" s="128" t="s">
        <v>90</v>
      </c>
      <c r="AD26" s="120" t="s">
        <v>73</v>
      </c>
      <c r="AE26" s="120" t="s">
        <v>74</v>
      </c>
      <c r="AF26" s="148">
        <f ca="1">+TODAY()</f>
        <v>44963</v>
      </c>
      <c r="AG26" s="149">
        <v>8.01</v>
      </c>
    </row>
    <row r="27" spans="1:45" ht="15.75" thickBot="1" x14ac:dyDescent="0.3">
      <c r="A27" s="16" t="s">
        <v>90</v>
      </c>
      <c r="B27" s="17" t="s">
        <v>74</v>
      </c>
      <c r="C27" s="162"/>
      <c r="D27" s="17"/>
      <c r="E27" s="17" t="s">
        <v>73</v>
      </c>
      <c r="F27" s="169"/>
      <c r="I27" s="23" t="s">
        <v>109</v>
      </c>
      <c r="J27" s="178" t="s">
        <v>192</v>
      </c>
      <c r="K27" s="22" t="s">
        <v>182</v>
      </c>
      <c r="L27" s="181" t="s">
        <v>183</v>
      </c>
      <c r="M27" s="24" t="s">
        <v>114</v>
      </c>
      <c r="N27" s="24" t="s">
        <v>74</v>
      </c>
      <c r="O27" s="24" t="s">
        <v>110</v>
      </c>
      <c r="P27" s="194">
        <f>+P21+35</f>
        <v>4683.7</v>
      </c>
      <c r="Q27" s="185"/>
    </row>
    <row r="28" spans="1:45" ht="15.75" thickBot="1" x14ac:dyDescent="0.3">
      <c r="C28" s="121" t="s">
        <v>252</v>
      </c>
      <c r="D28" s="121" t="s">
        <v>253</v>
      </c>
      <c r="I28" s="23" t="s">
        <v>109</v>
      </c>
      <c r="J28" s="178" t="s">
        <v>192</v>
      </c>
      <c r="K28" s="22" t="s">
        <v>182</v>
      </c>
      <c r="L28" s="181" t="s">
        <v>183</v>
      </c>
      <c r="M28" s="24" t="s">
        <v>115</v>
      </c>
      <c r="N28" s="24" t="s">
        <v>74</v>
      </c>
      <c r="O28" s="24" t="s">
        <v>110</v>
      </c>
      <c r="P28" s="194">
        <f>+P21+40</f>
        <v>4688.7</v>
      </c>
      <c r="Q28" s="185"/>
    </row>
    <row r="29" spans="1:45" ht="15.75" thickBot="1" x14ac:dyDescent="0.3">
      <c r="I29" s="23" t="s">
        <v>109</v>
      </c>
      <c r="J29" s="178" t="s">
        <v>192</v>
      </c>
      <c r="K29" s="22" t="s">
        <v>182</v>
      </c>
      <c r="L29" s="181" t="s">
        <v>183</v>
      </c>
      <c r="M29" s="24" t="s">
        <v>116</v>
      </c>
      <c r="N29" s="24" t="s">
        <v>74</v>
      </c>
      <c r="O29" s="24" t="s">
        <v>110</v>
      </c>
      <c r="P29" s="194">
        <f>+P21+45</f>
        <v>4693.7</v>
      </c>
      <c r="Q29" s="185"/>
      <c r="AJ29" s="26" t="s">
        <v>68</v>
      </c>
      <c r="AK29" s="26" t="s">
        <v>245</v>
      </c>
      <c r="AM29" s="290" t="s">
        <v>216</v>
      </c>
      <c r="AN29" s="291"/>
    </row>
    <row r="30" spans="1:45" x14ac:dyDescent="0.25">
      <c r="I30" s="23" t="s">
        <v>109</v>
      </c>
      <c r="J30" s="178" t="s">
        <v>192</v>
      </c>
      <c r="K30" s="22" t="s">
        <v>182</v>
      </c>
      <c r="L30" s="181" t="s">
        <v>183</v>
      </c>
      <c r="M30" s="24" t="s">
        <v>117</v>
      </c>
      <c r="N30" s="24" t="s">
        <v>74</v>
      </c>
      <c r="O30" s="24" t="s">
        <v>110</v>
      </c>
      <c r="P30" s="194">
        <f>+P21+50</f>
        <v>4698.7</v>
      </c>
      <c r="Q30" s="185"/>
      <c r="AF30" s="1" t="s">
        <v>212</v>
      </c>
      <c r="AJ30" s="188">
        <v>77</v>
      </c>
      <c r="AK30" s="188" t="s">
        <v>97</v>
      </c>
      <c r="AM30" s="39" t="s">
        <v>49</v>
      </c>
      <c r="AN30" s="136"/>
      <c r="AO30" s="1" t="s">
        <v>300</v>
      </c>
      <c r="AP30" s="1" t="s">
        <v>302</v>
      </c>
      <c r="AQ30" s="1" t="s">
        <v>301</v>
      </c>
      <c r="AS30" s="1" t="s">
        <v>303</v>
      </c>
    </row>
    <row r="31" spans="1:45" x14ac:dyDescent="0.25">
      <c r="I31" s="23" t="s">
        <v>109</v>
      </c>
      <c r="J31" s="178" t="s">
        <v>192</v>
      </c>
      <c r="K31" s="22" t="s">
        <v>182</v>
      </c>
      <c r="L31" s="181" t="s">
        <v>183</v>
      </c>
      <c r="M31" s="24" t="s">
        <v>118</v>
      </c>
      <c r="N31" s="24" t="s">
        <v>74</v>
      </c>
      <c r="O31" s="24" t="s">
        <v>110</v>
      </c>
      <c r="P31" s="194">
        <f>+P21+55</f>
        <v>4703.7</v>
      </c>
      <c r="AJ31" s="189">
        <v>70</v>
      </c>
      <c r="AK31" s="188" t="s">
        <v>251</v>
      </c>
      <c r="AM31" s="134" t="s">
        <v>4</v>
      </c>
      <c r="AN31" s="135"/>
    </row>
    <row r="32" spans="1:45" x14ac:dyDescent="0.25">
      <c r="I32" s="23" t="s">
        <v>109</v>
      </c>
      <c r="J32" s="178" t="s">
        <v>192</v>
      </c>
      <c r="K32" s="22" t="s">
        <v>182</v>
      </c>
      <c r="L32" s="181" t="s">
        <v>183</v>
      </c>
      <c r="M32" s="24" t="s">
        <v>119</v>
      </c>
      <c r="N32" s="24" t="s">
        <v>74</v>
      </c>
      <c r="O32" s="24" t="s">
        <v>110</v>
      </c>
      <c r="P32" s="194">
        <f>+P21+60</f>
        <v>4708.7</v>
      </c>
      <c r="AF32" s="121" t="s">
        <v>212</v>
      </c>
      <c r="AJ32" s="189">
        <v>83</v>
      </c>
      <c r="AK32" s="188" t="s">
        <v>250</v>
      </c>
      <c r="AM32" s="134" t="s">
        <v>33</v>
      </c>
      <c r="AN32" s="135"/>
    </row>
    <row r="33" spans="6:41" x14ac:dyDescent="0.25">
      <c r="I33" s="23" t="s">
        <v>109</v>
      </c>
      <c r="J33" s="178" t="s">
        <v>192</v>
      </c>
      <c r="K33" s="22" t="s">
        <v>182</v>
      </c>
      <c r="L33" s="181" t="s">
        <v>183</v>
      </c>
      <c r="M33" s="24" t="s">
        <v>120</v>
      </c>
      <c r="N33" s="24" t="s">
        <v>74</v>
      </c>
      <c r="O33" s="24" t="s">
        <v>110</v>
      </c>
      <c r="P33" s="194">
        <f>+P21+70</f>
        <v>4718.7</v>
      </c>
      <c r="Q33" s="185"/>
      <c r="AJ33" s="189">
        <v>75</v>
      </c>
      <c r="AK33" s="188" t="s">
        <v>249</v>
      </c>
      <c r="AM33" s="134" t="s">
        <v>55</v>
      </c>
      <c r="AN33" s="135"/>
    </row>
    <row r="34" spans="6:41" x14ac:dyDescent="0.25">
      <c r="I34" s="23" t="s">
        <v>109</v>
      </c>
      <c r="J34" s="178" t="s">
        <v>192</v>
      </c>
      <c r="K34" s="22" t="s">
        <v>182</v>
      </c>
      <c r="L34" s="181" t="s">
        <v>183</v>
      </c>
      <c r="M34" s="24" t="s">
        <v>218</v>
      </c>
      <c r="N34" s="24" t="s">
        <v>74</v>
      </c>
      <c r="O34" s="24" t="s">
        <v>110</v>
      </c>
      <c r="P34" s="194">
        <f>+P21+75</f>
        <v>4723.7</v>
      </c>
      <c r="Q34" s="185"/>
      <c r="AJ34" s="189">
        <v>3</v>
      </c>
      <c r="AK34" s="188" t="s">
        <v>248</v>
      </c>
      <c r="AM34" s="134" t="s">
        <v>150</v>
      </c>
      <c r="AN34" s="135"/>
    </row>
    <row r="35" spans="6:41" x14ac:dyDescent="0.25">
      <c r="I35" s="10" t="s">
        <v>109</v>
      </c>
      <c r="J35" s="160" t="s">
        <v>192</v>
      </c>
      <c r="K35" s="160" t="s">
        <v>182</v>
      </c>
      <c r="L35" s="160" t="s">
        <v>183</v>
      </c>
      <c r="M35" s="160" t="s">
        <v>121</v>
      </c>
      <c r="N35" s="160" t="s">
        <v>31</v>
      </c>
      <c r="O35" s="160" t="s">
        <v>110</v>
      </c>
      <c r="P35" s="278">
        <f>+Datos!G4</f>
        <v>5009.17</v>
      </c>
      <c r="Q35" s="185" t="s">
        <v>85</v>
      </c>
      <c r="AJ35" s="189">
        <v>71</v>
      </c>
      <c r="AK35" s="188" t="s">
        <v>247</v>
      </c>
      <c r="AM35" s="134" t="s">
        <v>28</v>
      </c>
      <c r="AN35" s="135"/>
      <c r="AO35" s="1" t="s">
        <v>337</v>
      </c>
    </row>
    <row r="36" spans="6:41" ht="15.75" thickBot="1" x14ac:dyDescent="0.3">
      <c r="F36" s="37" t="s">
        <v>211</v>
      </c>
      <c r="I36" s="10" t="s">
        <v>109</v>
      </c>
      <c r="J36" s="160" t="s">
        <v>192</v>
      </c>
      <c r="K36" s="160" t="s">
        <v>182</v>
      </c>
      <c r="L36" s="160" t="s">
        <v>183</v>
      </c>
      <c r="M36" s="160" t="s">
        <v>121</v>
      </c>
      <c r="N36" s="160" t="s">
        <v>31</v>
      </c>
      <c r="O36" s="160" t="s">
        <v>74</v>
      </c>
      <c r="P36" s="245">
        <f>+Datos!G3</f>
        <v>1.0847899999999999</v>
      </c>
      <c r="Q36" s="185" t="s">
        <v>85</v>
      </c>
      <c r="AJ36" s="190">
        <v>6</v>
      </c>
      <c r="AK36" s="190" t="s">
        <v>246</v>
      </c>
      <c r="AM36" s="134" t="s">
        <v>12</v>
      </c>
      <c r="AN36" s="135"/>
    </row>
    <row r="37" spans="6:41" x14ac:dyDescent="0.25">
      <c r="I37" s="10" t="s">
        <v>109</v>
      </c>
      <c r="J37" s="160" t="s">
        <v>192</v>
      </c>
      <c r="K37" s="160" t="s">
        <v>182</v>
      </c>
      <c r="L37" s="160" t="s">
        <v>183</v>
      </c>
      <c r="M37" s="160" t="s">
        <v>121</v>
      </c>
      <c r="N37" s="160" t="s">
        <v>108</v>
      </c>
      <c r="O37" s="160" t="s">
        <v>74</v>
      </c>
      <c r="P37" s="245">
        <f>+Datos!G5</f>
        <v>0.14806</v>
      </c>
      <c r="Q37" s="185" t="s">
        <v>85</v>
      </c>
      <c r="AM37" s="134" t="s">
        <v>336</v>
      </c>
      <c r="AN37" s="135"/>
    </row>
    <row r="38" spans="6:41" x14ac:dyDescent="0.25">
      <c r="I38" s="10" t="s">
        <v>109</v>
      </c>
      <c r="J38" s="160" t="s">
        <v>192</v>
      </c>
      <c r="K38" s="160" t="s">
        <v>182</v>
      </c>
      <c r="L38" s="160" t="s">
        <v>183</v>
      </c>
      <c r="M38" s="160" t="s">
        <v>121</v>
      </c>
      <c r="N38" s="160" t="s">
        <v>122</v>
      </c>
      <c r="O38" s="160" t="s">
        <v>74</v>
      </c>
      <c r="P38" s="245">
        <f>+Datos!G6</f>
        <v>7.6800000000000002E-3</v>
      </c>
      <c r="Q38" s="185" t="s">
        <v>85</v>
      </c>
      <c r="AM38" s="266" t="s">
        <v>42</v>
      </c>
      <c r="AN38" s="135"/>
    </row>
    <row r="39" spans="6:41" ht="15.75" thickBot="1" x14ac:dyDescent="0.3">
      <c r="F39" s="1"/>
      <c r="I39" s="10" t="s">
        <v>109</v>
      </c>
      <c r="J39" s="160" t="s">
        <v>192</v>
      </c>
      <c r="K39" s="160" t="s">
        <v>182</v>
      </c>
      <c r="L39" s="160" t="s">
        <v>183</v>
      </c>
      <c r="M39" s="160" t="s">
        <v>121</v>
      </c>
      <c r="N39" s="160" t="s">
        <v>108</v>
      </c>
      <c r="O39" s="160" t="s">
        <v>110</v>
      </c>
      <c r="P39" s="244">
        <f>+Datos!G7</f>
        <v>674.96299999999997</v>
      </c>
      <c r="Q39" s="185" t="s">
        <v>85</v>
      </c>
      <c r="AM39" s="192" t="s">
        <v>64</v>
      </c>
      <c r="AN39" s="137"/>
    </row>
    <row r="40" spans="6:41" x14ac:dyDescent="0.25">
      <c r="F40" s="1"/>
      <c r="H40" s="250"/>
      <c r="I40" s="10" t="s">
        <v>109</v>
      </c>
      <c r="J40" s="160" t="s">
        <v>192</v>
      </c>
      <c r="K40" s="160" t="s">
        <v>182</v>
      </c>
      <c r="L40" s="160" t="s">
        <v>183</v>
      </c>
      <c r="M40" s="160" t="s">
        <v>121</v>
      </c>
      <c r="N40" s="160" t="s">
        <v>122</v>
      </c>
      <c r="O40" s="160" t="s">
        <v>110</v>
      </c>
      <c r="P40" s="245">
        <f>+Datos!G8</f>
        <v>35.078800000000001</v>
      </c>
      <c r="Q40" s="185" t="s">
        <v>85</v>
      </c>
    </row>
    <row r="41" spans="6:41" x14ac:dyDescent="0.25">
      <c r="F41" s="1"/>
      <c r="H41" s="250"/>
      <c r="I41" s="10" t="s">
        <v>109</v>
      </c>
      <c r="J41" s="11" t="s">
        <v>192</v>
      </c>
      <c r="K41" s="160" t="s">
        <v>194</v>
      </c>
      <c r="L41" s="160" t="s">
        <v>183</v>
      </c>
      <c r="M41" s="153" t="s">
        <v>121</v>
      </c>
      <c r="N41" s="247" t="s">
        <v>123</v>
      </c>
      <c r="O41" s="248" t="s">
        <v>74</v>
      </c>
      <c r="P41" s="245">
        <f>+Datos!G9</f>
        <v>0.19592999999999999</v>
      </c>
      <c r="Q41" s="185" t="s">
        <v>85</v>
      </c>
    </row>
    <row r="42" spans="6:41" x14ac:dyDescent="0.25">
      <c r="F42" s="1"/>
      <c r="I42" s="23" t="s">
        <v>323</v>
      </c>
      <c r="J42" s="178" t="s">
        <v>324</v>
      </c>
      <c r="K42" s="178" t="s">
        <v>233</v>
      </c>
      <c r="L42" s="178" t="s">
        <v>183</v>
      </c>
      <c r="M42" s="178" t="s">
        <v>326</v>
      </c>
      <c r="N42" s="178" t="s">
        <v>31</v>
      </c>
      <c r="O42" s="178" t="s">
        <v>74</v>
      </c>
      <c r="P42" s="249">
        <f>+Datos!G3</f>
        <v>1.0847899999999999</v>
      </c>
    </row>
    <row r="43" spans="6:41" ht="15.75" thickBot="1" x14ac:dyDescent="0.3">
      <c r="F43" s="1"/>
      <c r="I43" s="196" t="s">
        <v>323</v>
      </c>
      <c r="J43" s="197" t="s">
        <v>324</v>
      </c>
      <c r="K43" s="197" t="s">
        <v>233</v>
      </c>
      <c r="L43" s="197" t="s">
        <v>183</v>
      </c>
      <c r="M43" s="197" t="s">
        <v>326</v>
      </c>
      <c r="N43" s="197" t="s">
        <v>325</v>
      </c>
      <c r="O43" s="197" t="s">
        <v>74</v>
      </c>
      <c r="P43" s="246">
        <f>+Datos!G10</f>
        <v>8.0999999999999996E-4</v>
      </c>
    </row>
    <row r="44" spans="6:41" x14ac:dyDescent="0.25">
      <c r="F44" s="1"/>
      <c r="P44" s="265"/>
      <c r="AN44" s="1" t="s">
        <v>211</v>
      </c>
    </row>
    <row r="45" spans="6:41" x14ac:dyDescent="0.25">
      <c r="F45" s="1"/>
    </row>
    <row r="46" spans="6:41" x14ac:dyDescent="0.25">
      <c r="F46" s="1"/>
    </row>
    <row r="47" spans="6:41" x14ac:dyDescent="0.25">
      <c r="F47" s="1"/>
    </row>
    <row r="48" spans="6:41" x14ac:dyDescent="0.25">
      <c r="F48" s="1"/>
    </row>
    <row r="49" spans="1:6" x14ac:dyDescent="0.25">
      <c r="F49" s="1"/>
    </row>
    <row r="50" spans="1:6" x14ac:dyDescent="0.25">
      <c r="A50" t="s">
        <v>338</v>
      </c>
      <c r="B50" t="s">
        <v>340</v>
      </c>
      <c r="C50"/>
      <c r="D50" t="s">
        <v>339</v>
      </c>
      <c r="F50" s="1"/>
    </row>
    <row r="51" spans="1:6" x14ac:dyDescent="0.25">
      <c r="A51" s="267" t="s">
        <v>342</v>
      </c>
      <c r="B51" s="267" t="s">
        <v>341</v>
      </c>
      <c r="C51"/>
      <c r="D51" s="105">
        <f ca="1">+TODAY()</f>
        <v>44963</v>
      </c>
      <c r="F51" s="1"/>
    </row>
    <row r="119" spans="6:12" s="44" customFormat="1" ht="30" customHeight="1" x14ac:dyDescent="0.25">
      <c r="F119" s="170"/>
      <c r="L119" s="183"/>
    </row>
    <row r="125" spans="6:12" s="65" customFormat="1" ht="12.75" x14ac:dyDescent="0.2">
      <c r="F125" s="171"/>
      <c r="L125" s="182"/>
    </row>
    <row r="126" spans="6:12" s="65" customFormat="1" ht="12.75" x14ac:dyDescent="0.2">
      <c r="F126" s="171"/>
      <c r="L126" s="182"/>
    </row>
    <row r="129" spans="6:12" s="65" customFormat="1" ht="12.75" x14ac:dyDescent="0.2">
      <c r="F129" s="171"/>
      <c r="L129" s="182"/>
    </row>
    <row r="130" spans="6:12" s="65" customFormat="1" ht="12.75" x14ac:dyDescent="0.2">
      <c r="F130" s="171"/>
      <c r="L130" s="182"/>
    </row>
    <row r="133" spans="6:12" s="65" customFormat="1" ht="12.75" x14ac:dyDescent="0.2">
      <c r="F133" s="171"/>
      <c r="L133" s="182"/>
    </row>
    <row r="134" spans="6:12" s="65" customFormat="1" ht="12.75" x14ac:dyDescent="0.2">
      <c r="F134" s="171"/>
      <c r="L134" s="182"/>
    </row>
  </sheetData>
  <dataConsolidate/>
  <mergeCells count="5">
    <mergeCell ref="A1:F1"/>
    <mergeCell ref="AC18:AG18"/>
    <mergeCell ref="AM29:AN29"/>
    <mergeCell ref="A14:F14"/>
    <mergeCell ref="S16:Z16"/>
  </mergeCells>
  <hyperlinks>
    <hyperlink ref="B51" r:id="rId1" xr:uid="{00000000-0004-0000-0200-000000000000}"/>
    <hyperlink ref="A51" r:id="rId2" xr:uid="{00000000-0004-0000-0200-000001000000}"/>
  </hyperlinks>
  <pageMargins left="0.7" right="0.7" top="0.75" bottom="0.75" header="0.3" footer="0.3"/>
  <pageSetup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6" name="Button 2">
              <controlPr defaultSize="0" print="0" autoFill="0" autoPict="0" macro="[0]!Copy_Oanda">
                <anchor moveWithCells="1" sizeWithCells="1">
                  <from>
                    <xdr:col>6</xdr:col>
                    <xdr:colOff>190500</xdr:colOff>
                    <xdr:row>0</xdr:row>
                    <xdr:rowOff>152400</xdr:rowOff>
                  </from>
                  <to>
                    <xdr:col>7</xdr:col>
                    <xdr:colOff>314325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A1:V77"/>
  <sheetViews>
    <sheetView showGridLines="0" zoomScaleNormal="100" workbookViewId="0">
      <selection activeCell="K17" sqref="K17"/>
    </sheetView>
  </sheetViews>
  <sheetFormatPr baseColWidth="10" defaultRowHeight="15" x14ac:dyDescent="0.25"/>
  <cols>
    <col min="4" max="4" width="16" customWidth="1"/>
  </cols>
  <sheetData>
    <row r="1" spans="1:12" ht="20.25" x14ac:dyDescent="0.3">
      <c r="A1" s="2" t="s">
        <v>151</v>
      </c>
    </row>
    <row r="2" spans="1:12" ht="20.25" x14ac:dyDescent="0.3">
      <c r="A2" s="2"/>
    </row>
    <row r="3" spans="1:12" ht="15.75" x14ac:dyDescent="0.25">
      <c r="A3" s="195" t="s">
        <v>28</v>
      </c>
    </row>
    <row r="4" spans="1:12" s="1" customFormat="1" ht="19.5" thickBot="1" x14ac:dyDescent="0.35">
      <c r="C4" s="41"/>
      <c r="F4" s="37"/>
      <c r="L4" s="179"/>
    </row>
    <row r="5" spans="1:12" s="1" customFormat="1" x14ac:dyDescent="0.25">
      <c r="A5" s="302" t="s">
        <v>74</v>
      </c>
      <c r="B5" s="300"/>
      <c r="C5" s="301"/>
      <c r="D5" s="200" t="s">
        <v>152</v>
      </c>
      <c r="F5" s="37"/>
      <c r="L5" s="179"/>
    </row>
    <row r="6" spans="1:12" s="1" customFormat="1" ht="15.75" thickBot="1" x14ac:dyDescent="0.3">
      <c r="A6" s="303"/>
      <c r="B6" s="304"/>
      <c r="C6" s="305"/>
      <c r="D6" s="277">
        <f>+ExchRate!P6</f>
        <v>38.680999999999997</v>
      </c>
      <c r="F6" s="37"/>
      <c r="L6" s="179"/>
    </row>
    <row r="7" spans="1:12" s="1" customFormat="1" x14ac:dyDescent="0.25">
      <c r="A7" s="302" t="s">
        <v>31</v>
      </c>
      <c r="B7" s="300"/>
      <c r="C7" s="301"/>
      <c r="D7" s="200" t="s">
        <v>152</v>
      </c>
      <c r="F7" s="37"/>
      <c r="L7" s="179"/>
    </row>
    <row r="8" spans="1:12" s="1" customFormat="1" ht="15.75" thickBot="1" x14ac:dyDescent="0.3">
      <c r="A8" s="303"/>
      <c r="B8" s="304"/>
      <c r="C8" s="305"/>
      <c r="D8" s="198">
        <f>+ExchRate!C20</f>
        <v>0</v>
      </c>
      <c r="E8" s="1" t="s">
        <v>332</v>
      </c>
      <c r="F8" s="37"/>
      <c r="L8" s="179"/>
    </row>
    <row r="9" spans="1:12" s="1" customFormat="1" x14ac:dyDescent="0.25">
      <c r="F9" s="37"/>
      <c r="L9" s="179"/>
    </row>
    <row r="10" spans="1:12" s="215" customFormat="1" ht="6" customHeight="1" x14ac:dyDescent="0.25">
      <c r="F10" s="217"/>
      <c r="L10" s="216"/>
    </row>
    <row r="11" spans="1:12" s="1" customFormat="1" ht="15.75" x14ac:dyDescent="0.25">
      <c r="A11" s="195"/>
      <c r="F11" s="37"/>
      <c r="L11" s="179"/>
    </row>
    <row r="12" spans="1:12" s="1" customFormat="1" ht="15.75" x14ac:dyDescent="0.25">
      <c r="A12" s="195" t="s">
        <v>4</v>
      </c>
      <c r="F12" s="37"/>
      <c r="L12" s="179"/>
    </row>
    <row r="13" spans="1:12" s="1" customFormat="1" ht="16.5" thickBot="1" x14ac:dyDescent="0.3">
      <c r="A13" s="195"/>
      <c r="F13" s="37"/>
      <c r="L13" s="179"/>
    </row>
    <row r="14" spans="1:12" s="1" customFormat="1" ht="22.5" customHeight="1" x14ac:dyDescent="0.25">
      <c r="A14" s="302" t="s">
        <v>153</v>
      </c>
      <c r="B14" s="300"/>
      <c r="C14" s="300"/>
      <c r="D14" s="301"/>
      <c r="E14" s="200" t="s">
        <v>258</v>
      </c>
      <c r="F14" s="200" t="s">
        <v>257</v>
      </c>
      <c r="G14" s="200" t="s">
        <v>256</v>
      </c>
      <c r="H14" s="200" t="s">
        <v>255</v>
      </c>
      <c r="I14" s="200" t="s">
        <v>254</v>
      </c>
      <c r="J14" s="200" t="s">
        <v>259</v>
      </c>
    </row>
    <row r="15" spans="1:12" s="1" customFormat="1" ht="15.75" customHeight="1" thickBot="1" x14ac:dyDescent="0.3">
      <c r="A15" s="210"/>
      <c r="B15" s="211"/>
      <c r="C15" s="211"/>
      <c r="D15" s="197"/>
      <c r="E15" s="279">
        <f>+ExchRate!C6</f>
        <v>804.28</v>
      </c>
      <c r="F15" s="197">
        <f>+ExchRate!P7</f>
        <v>836.45119999999997</v>
      </c>
      <c r="G15" s="235">
        <f>+ExchRate!P8</f>
        <v>804.30899999999997</v>
      </c>
      <c r="H15" s="279">
        <f>+ExchRate!C7</f>
        <v>873.08</v>
      </c>
      <c r="I15" s="197">
        <f>+ExchRate!P10</f>
        <v>908.00319999999999</v>
      </c>
      <c r="J15" s="281">
        <f>+ExchRate!P11</f>
        <v>872.63499999999999</v>
      </c>
    </row>
    <row r="16" spans="1:12" s="1" customFormat="1" x14ac:dyDescent="0.25"/>
    <row r="17" spans="1:14" s="215" customFormat="1" ht="6" customHeight="1" x14ac:dyDescent="0.25"/>
    <row r="18" spans="1:14" s="1" customFormat="1" x14ac:dyDescent="0.25"/>
    <row r="19" spans="1:14" s="1" customFormat="1" ht="15.75" x14ac:dyDescent="0.25">
      <c r="A19" s="195" t="s">
        <v>55</v>
      </c>
    </row>
    <row r="20" spans="1:14" s="1" customFormat="1" ht="15.75" thickBot="1" x14ac:dyDescent="0.3">
      <c r="B20" s="63"/>
      <c r="C20" s="63"/>
      <c r="D20"/>
      <c r="E20"/>
      <c r="F20" s="105"/>
      <c r="G20"/>
      <c r="L20" s="179"/>
    </row>
    <row r="21" spans="1:14" s="1" customFormat="1" ht="15.75" customHeight="1" x14ac:dyDescent="0.25">
      <c r="A21" s="299" t="s">
        <v>67</v>
      </c>
      <c r="B21" s="300"/>
      <c r="C21" s="301"/>
      <c r="D21" s="200" t="s">
        <v>161</v>
      </c>
      <c r="E21" s="201" t="s">
        <v>162</v>
      </c>
      <c r="F21" s="201" t="s">
        <v>162</v>
      </c>
      <c r="G21" s="64"/>
      <c r="H21" s="65"/>
      <c r="I21" s="65"/>
      <c r="J21" s="65"/>
      <c r="K21" s="65"/>
      <c r="L21" s="182"/>
      <c r="M21" s="65"/>
      <c r="N21" s="65"/>
    </row>
    <row r="22" spans="1:14" s="1" customFormat="1" ht="15.75" thickBot="1" x14ac:dyDescent="0.3">
      <c r="A22" s="303"/>
      <c r="B22" s="304"/>
      <c r="C22" s="305"/>
      <c r="D22" s="197">
        <f>+ExchRate!C15</f>
        <v>3.851</v>
      </c>
      <c r="E22" s="252">
        <f>+ExchRate!C15</f>
        <v>3.851</v>
      </c>
      <c r="F22" s="252">
        <f>+ExchRate!C16</f>
        <v>4.28</v>
      </c>
      <c r="G22" s="64"/>
      <c r="H22" s="65"/>
      <c r="I22" s="65"/>
      <c r="J22" s="65"/>
      <c r="K22" s="65"/>
      <c r="L22" s="182"/>
      <c r="M22" s="65"/>
      <c r="N22" s="65"/>
    </row>
    <row r="23" spans="1:14" s="1" customFormat="1" ht="8.25" customHeight="1" thickBot="1" x14ac:dyDescent="0.3">
      <c r="A23" s="203"/>
      <c r="B23" s="63"/>
      <c r="C23" s="63"/>
      <c r="D23"/>
      <c r="E23"/>
      <c r="F23" s="105"/>
      <c r="G23"/>
      <c r="L23" s="179"/>
    </row>
    <row r="24" spans="1:14" s="1" customFormat="1" ht="15.75" thickBot="1" x14ac:dyDescent="0.3">
      <c r="A24" s="296" t="s">
        <v>163</v>
      </c>
      <c r="B24" s="297"/>
      <c r="C24" s="298"/>
      <c r="D24" s="200" t="s">
        <v>164</v>
      </c>
      <c r="E24" s="200" t="s">
        <v>165</v>
      </c>
      <c r="F24" s="200" t="s">
        <v>166</v>
      </c>
      <c r="G24" s="200" t="s">
        <v>167</v>
      </c>
      <c r="H24" s="201" t="s">
        <v>168</v>
      </c>
      <c r="I24" s="201" t="s">
        <v>294</v>
      </c>
      <c r="J24" s="65"/>
      <c r="K24" s="65"/>
      <c r="L24" s="182"/>
      <c r="M24" s="65"/>
      <c r="N24" s="65"/>
    </row>
    <row r="25" spans="1:14" s="1" customFormat="1" ht="15.75" thickBot="1" x14ac:dyDescent="0.3">
      <c r="A25" s="310"/>
      <c r="B25" s="311"/>
      <c r="C25" s="312"/>
      <c r="D25" s="197">
        <f>+ExchRate!P13</f>
        <v>3.851</v>
      </c>
      <c r="E25" s="197">
        <f>+ExchRate!P15</f>
        <v>1.1113996364580629</v>
      </c>
      <c r="F25" s="197">
        <f>+ExchRate!P16</f>
        <v>4.28</v>
      </c>
      <c r="G25" s="197">
        <f>+ExchRate!P14</f>
        <v>0.25967281225655675</v>
      </c>
      <c r="H25" s="197">
        <f>+ExchRate!P17</f>
        <v>0.14806</v>
      </c>
      <c r="I25" s="236">
        <f>+ExchRate!P18</f>
        <v>1.0847899999999999</v>
      </c>
      <c r="J25" s="65"/>
      <c r="K25" s="65"/>
      <c r="L25" s="182"/>
      <c r="M25" s="65"/>
      <c r="N25" s="65"/>
    </row>
    <row r="26" spans="1:14" s="1" customFormat="1" ht="8.25" customHeight="1" thickBot="1" x14ac:dyDescent="0.3">
      <c r="A26" s="204"/>
      <c r="B26" s="61"/>
      <c r="C26" s="61"/>
      <c r="D26" s="62"/>
      <c r="E26" s="61"/>
      <c r="F26" s="202"/>
      <c r="G26"/>
      <c r="L26" s="179"/>
    </row>
    <row r="27" spans="1:14" s="1" customFormat="1" x14ac:dyDescent="0.25">
      <c r="A27" s="299" t="s">
        <v>146</v>
      </c>
      <c r="B27" s="300"/>
      <c r="C27" s="301"/>
      <c r="D27" s="201" t="s">
        <v>164</v>
      </c>
      <c r="E27" s="64"/>
      <c r="F27" s="205"/>
      <c r="G27" s="64"/>
      <c r="H27" s="65"/>
      <c r="I27" s="65"/>
      <c r="J27" s="65"/>
      <c r="K27" s="65"/>
      <c r="L27" s="182"/>
      <c r="M27" s="65"/>
      <c r="N27" s="65"/>
    </row>
    <row r="28" spans="1:14" s="1" customFormat="1" ht="15.75" thickBot="1" x14ac:dyDescent="0.3">
      <c r="A28" s="303"/>
      <c r="B28" s="304"/>
      <c r="C28" s="305"/>
      <c r="D28" s="252">
        <f>+ExchRate!AO10</f>
        <v>3.851</v>
      </c>
      <c r="E28" s="206"/>
      <c r="F28" s="205"/>
      <c r="G28" s="64"/>
      <c r="H28" s="65"/>
      <c r="I28" s="65"/>
      <c r="J28" s="65"/>
      <c r="K28" s="65"/>
      <c r="L28" s="182"/>
      <c r="M28" s="65"/>
      <c r="N28" s="65"/>
    </row>
    <row r="29" spans="1:14" s="1" customFormat="1" x14ac:dyDescent="0.25">
      <c r="L29" s="179"/>
    </row>
    <row r="30" spans="1:14" s="215" customFormat="1" ht="6" customHeight="1" x14ac:dyDescent="0.25">
      <c r="L30" s="216"/>
    </row>
    <row r="31" spans="1:14" x14ac:dyDescent="0.25">
      <c r="E31" s="102"/>
    </row>
    <row r="32" spans="1:14" ht="15.75" x14ac:dyDescent="0.25">
      <c r="A32" s="195" t="s">
        <v>33</v>
      </c>
      <c r="E32" s="102"/>
    </row>
    <row r="33" spans="1:22" x14ac:dyDescent="0.25">
      <c r="E33" s="102"/>
    </row>
    <row r="34" spans="1:22" ht="15.75" thickBot="1" x14ac:dyDescent="0.3">
      <c r="A34" s="213" t="s">
        <v>67</v>
      </c>
      <c r="E34" s="102"/>
    </row>
    <row r="35" spans="1:22" ht="15.75" thickBot="1" x14ac:dyDescent="0.3">
      <c r="A35" s="306" t="s">
        <v>260</v>
      </c>
      <c r="B35" s="307"/>
      <c r="C35" s="308"/>
      <c r="D35" s="309" t="s">
        <v>82</v>
      </c>
      <c r="E35" s="307"/>
      <c r="F35" s="308"/>
    </row>
    <row r="36" spans="1:22" x14ac:dyDescent="0.25">
      <c r="A36" s="199" t="s">
        <v>73</v>
      </c>
      <c r="B36" s="199" t="s">
        <v>78</v>
      </c>
      <c r="C36" s="199" t="s">
        <v>31</v>
      </c>
      <c r="D36" s="199" t="s">
        <v>261</v>
      </c>
      <c r="E36" s="199" t="s">
        <v>78</v>
      </c>
      <c r="F36" s="199" t="s">
        <v>31</v>
      </c>
      <c r="G36" s="212"/>
    </row>
    <row r="37" spans="1:22" ht="15.75" thickBot="1" x14ac:dyDescent="0.3">
      <c r="A37" s="229">
        <f>+ExchRate!C9</f>
        <v>4669.7</v>
      </c>
      <c r="B37" s="229">
        <f>+ExchRate!C17</f>
        <v>4648.7</v>
      </c>
      <c r="C37" s="229">
        <f>+S41</f>
        <v>5009.17</v>
      </c>
      <c r="D37" s="229">
        <f>+ExchRate!C9</f>
        <v>4669.7</v>
      </c>
      <c r="E37" s="229">
        <f>+ExchRate!C17</f>
        <v>4648.7</v>
      </c>
      <c r="F37" s="229">
        <f>+S41</f>
        <v>5009.17</v>
      </c>
    </row>
    <row r="38" spans="1:22" x14ac:dyDescent="0.25">
      <c r="A38" s="207"/>
      <c r="B38" s="207"/>
      <c r="C38" s="207" t="s">
        <v>262</v>
      </c>
      <c r="D38" s="207"/>
      <c r="E38" s="207"/>
      <c r="F38" s="207" t="s">
        <v>262</v>
      </c>
      <c r="H38" s="208"/>
      <c r="I38" s="208"/>
      <c r="J38" s="208"/>
      <c r="K38" s="208"/>
    </row>
    <row r="39" spans="1:22" ht="15.75" thickBot="1" x14ac:dyDescent="0.3">
      <c r="A39" s="213" t="s">
        <v>91</v>
      </c>
      <c r="E39" s="102"/>
    </row>
    <row r="40" spans="1:22" x14ac:dyDescent="0.25">
      <c r="A40" s="200" t="s">
        <v>263</v>
      </c>
      <c r="B40" s="200" t="s">
        <v>35</v>
      </c>
      <c r="C40" s="200" t="s">
        <v>330</v>
      </c>
      <c r="D40" s="200" t="s">
        <v>331</v>
      </c>
      <c r="E40" s="200" t="s">
        <v>111</v>
      </c>
      <c r="F40" s="200" t="s">
        <v>112</v>
      </c>
      <c r="G40" s="200" t="s">
        <v>113</v>
      </c>
      <c r="H40" s="200" t="s">
        <v>114</v>
      </c>
      <c r="I40" s="200" t="s">
        <v>115</v>
      </c>
      <c r="J40" s="200" t="s">
        <v>116</v>
      </c>
      <c r="K40" s="200" t="s">
        <v>117</v>
      </c>
      <c r="L40" s="200" t="s">
        <v>118</v>
      </c>
      <c r="M40" s="200" t="s">
        <v>119</v>
      </c>
      <c r="N40" s="200" t="s">
        <v>120</v>
      </c>
      <c r="O40" s="200" t="s">
        <v>218</v>
      </c>
      <c r="P40" s="200" t="s">
        <v>264</v>
      </c>
      <c r="Q40" s="200" t="s">
        <v>265</v>
      </c>
      <c r="R40" s="200" t="s">
        <v>165</v>
      </c>
      <c r="S40" s="200" t="s">
        <v>266</v>
      </c>
      <c r="T40" s="200" t="s">
        <v>267</v>
      </c>
      <c r="U40" s="200" t="s">
        <v>268</v>
      </c>
      <c r="V40" s="200" t="s">
        <v>269</v>
      </c>
    </row>
    <row r="41" spans="1:22" ht="15.75" thickBot="1" x14ac:dyDescent="0.3">
      <c r="A41" s="197" t="s">
        <v>270</v>
      </c>
      <c r="B41" s="229">
        <f>+ExchRate!P21</f>
        <v>4648.7</v>
      </c>
      <c r="C41" s="229">
        <f>+ExchRate!P22</f>
        <v>4704.4844000000003</v>
      </c>
      <c r="D41" s="229">
        <f>+ExchRate!P23</f>
        <v>4730.0522499999997</v>
      </c>
      <c r="E41" s="229">
        <f>+ExchRate!P24</f>
        <v>4661.7</v>
      </c>
      <c r="F41" s="229">
        <f>+ExchRate!P25</f>
        <v>4669.7</v>
      </c>
      <c r="G41" s="229">
        <f>+ExchRate!P26</f>
        <v>4678.7</v>
      </c>
      <c r="H41" s="229">
        <f>+ExchRate!P27</f>
        <v>4683.7</v>
      </c>
      <c r="I41" s="229">
        <f>+ExchRate!P28</f>
        <v>4688.7</v>
      </c>
      <c r="J41" s="229">
        <f>+ExchRate!P29</f>
        <v>4693.7</v>
      </c>
      <c r="K41" s="229">
        <f>+ExchRate!P30</f>
        <v>4698.7</v>
      </c>
      <c r="L41" s="229">
        <f>+ExchRate!P31</f>
        <v>4703.7</v>
      </c>
      <c r="M41" s="229">
        <f>+ExchRate!P32</f>
        <v>4708.7</v>
      </c>
      <c r="N41" s="229">
        <f>+ExchRate!P33</f>
        <v>4718.7</v>
      </c>
      <c r="O41" s="229">
        <f>+ExchRate!P34</f>
        <v>4723.7</v>
      </c>
      <c r="P41" s="233">
        <f>+ExchRate!P37</f>
        <v>0.14806</v>
      </c>
      <c r="Q41" s="233">
        <f>+ExchRate!P38</f>
        <v>7.6800000000000002E-3</v>
      </c>
      <c r="R41" s="233">
        <f>+ExchRate!P36</f>
        <v>1.0847899999999999</v>
      </c>
      <c r="S41" s="229">
        <f>+ExchRate!P35</f>
        <v>5009.17</v>
      </c>
      <c r="T41" s="234">
        <f>+ExchRate!P39</f>
        <v>674.96299999999997</v>
      </c>
      <c r="U41" s="235">
        <f>+ExchRate!P40</f>
        <v>35.078800000000001</v>
      </c>
      <c r="V41" s="236">
        <f>+ExchRate!P41</f>
        <v>0.19592999999999999</v>
      </c>
    </row>
    <row r="42" spans="1:22" x14ac:dyDescent="0.25">
      <c r="B42" s="208"/>
      <c r="C42" s="208"/>
      <c r="D42" s="208"/>
      <c r="E42" s="208"/>
      <c r="F42" s="208"/>
      <c r="H42" s="208"/>
      <c r="I42" s="208"/>
      <c r="J42" s="208"/>
      <c r="K42" s="208"/>
      <c r="L42" s="208"/>
      <c r="M42" s="208"/>
      <c r="N42" s="209"/>
      <c r="O42" s="208"/>
      <c r="P42" s="208"/>
      <c r="Q42" s="208"/>
      <c r="R42" s="208"/>
      <c r="S42" s="208"/>
    </row>
    <row r="43" spans="1:22" ht="15.75" thickBot="1" x14ac:dyDescent="0.3">
      <c r="A43" s="213" t="s">
        <v>146</v>
      </c>
      <c r="E43" s="102"/>
    </row>
    <row r="44" spans="1:22" ht="22.5" x14ac:dyDescent="0.25">
      <c r="A44" s="200" t="s">
        <v>271</v>
      </c>
      <c r="B44" s="200" t="s">
        <v>272</v>
      </c>
      <c r="C44" s="200" t="s">
        <v>273</v>
      </c>
      <c r="D44" s="200" t="s">
        <v>274</v>
      </c>
      <c r="E44" s="200" t="s">
        <v>330</v>
      </c>
      <c r="F44" s="200" t="s">
        <v>331</v>
      </c>
      <c r="G44" s="200" t="s">
        <v>271</v>
      </c>
    </row>
    <row r="45" spans="1:22" ht="15.75" thickBot="1" x14ac:dyDescent="0.3">
      <c r="A45" s="229">
        <f>+ExchRate!AO12</f>
        <v>4648.7</v>
      </c>
      <c r="B45" s="229">
        <f>+ExchRate!AO13</f>
        <v>4683.7</v>
      </c>
      <c r="C45" s="229">
        <f>+ExchRate!AO14</f>
        <v>4693.7</v>
      </c>
      <c r="D45" s="229">
        <f>+ExchRate!AO15</f>
        <v>4648.7</v>
      </c>
      <c r="E45" s="229">
        <f>+ExchRate!AO16</f>
        <v>4704.4844000000003</v>
      </c>
      <c r="F45" s="229">
        <f>+ExchRate!AO17</f>
        <v>4730.0522499999997</v>
      </c>
      <c r="G45" s="229">
        <f>+ExchRate!AO18</f>
        <v>5038.17</v>
      </c>
    </row>
    <row r="47" spans="1:22" s="214" customFormat="1" ht="6" customHeight="1" x14ac:dyDescent="0.25"/>
    <row r="49" spans="1:2" ht="15.75" x14ac:dyDescent="0.25">
      <c r="A49" s="195" t="s">
        <v>150</v>
      </c>
    </row>
    <row r="51" spans="1:2" ht="15.75" thickBot="1" x14ac:dyDescent="0.3">
      <c r="A51" s="213" t="s">
        <v>67</v>
      </c>
    </row>
    <row r="52" spans="1:2" ht="15.75" thickBot="1" x14ac:dyDescent="0.3">
      <c r="A52" s="200" t="s">
        <v>275</v>
      </c>
    </row>
    <row r="53" spans="1:2" ht="15.75" thickBot="1" x14ac:dyDescent="0.3">
      <c r="A53" s="230">
        <f>+ExchRate!C11</f>
        <v>558.29</v>
      </c>
    </row>
    <row r="55" spans="1:2" ht="15.75" thickBot="1" x14ac:dyDescent="0.3">
      <c r="A55" s="213" t="s">
        <v>91</v>
      </c>
    </row>
    <row r="56" spans="1:2" ht="15.75" thickBot="1" x14ac:dyDescent="0.3">
      <c r="A56" s="218" t="s">
        <v>127</v>
      </c>
      <c r="B56" s="219" t="s">
        <v>276</v>
      </c>
    </row>
    <row r="57" spans="1:2" ht="15.75" thickBot="1" x14ac:dyDescent="0.3">
      <c r="A57" s="280">
        <f>+ExchRate!P19</f>
        <v>558.29</v>
      </c>
      <c r="B57" s="231">
        <f>+ExchRate!P20</f>
        <v>558.29</v>
      </c>
    </row>
    <row r="59" spans="1:2" ht="15.75" thickBot="1" x14ac:dyDescent="0.3">
      <c r="A59" s="213" t="s">
        <v>146</v>
      </c>
    </row>
    <row r="60" spans="1:2" ht="15.75" thickBot="1" x14ac:dyDescent="0.3">
      <c r="A60" s="220" t="s">
        <v>277</v>
      </c>
    </row>
    <row r="61" spans="1:2" ht="15.75" thickBot="1" x14ac:dyDescent="0.3">
      <c r="A61" s="197">
        <f>+ExchRate!AO11</f>
        <v>55829</v>
      </c>
    </row>
    <row r="63" spans="1:2" s="214" customFormat="1" ht="6" customHeight="1" x14ac:dyDescent="0.25"/>
    <row r="65" spans="1:11" ht="15.75" x14ac:dyDescent="0.25">
      <c r="A65" s="195" t="s">
        <v>12</v>
      </c>
    </row>
    <row r="66" spans="1:11" ht="15.75" thickBot="1" x14ac:dyDescent="0.3"/>
    <row r="67" spans="1:11" ht="15.75" thickBot="1" x14ac:dyDescent="0.3">
      <c r="A67" s="313" t="s">
        <v>91</v>
      </c>
      <c r="B67" s="314"/>
      <c r="C67" s="314"/>
      <c r="D67" s="314"/>
      <c r="E67" s="314"/>
      <c r="F67" s="314"/>
      <c r="G67" s="314"/>
      <c r="H67" s="314"/>
      <c r="I67" s="314"/>
      <c r="J67" s="315"/>
      <c r="K67" s="222" t="s">
        <v>146</v>
      </c>
    </row>
    <row r="68" spans="1:11" x14ac:dyDescent="0.25">
      <c r="A68" s="223" t="s">
        <v>263</v>
      </c>
      <c r="B68" s="224" t="s">
        <v>278</v>
      </c>
      <c r="C68" s="224" t="s">
        <v>279</v>
      </c>
      <c r="D68" s="224" t="s">
        <v>123</v>
      </c>
      <c r="E68" s="224" t="s">
        <v>144</v>
      </c>
      <c r="F68" s="224" t="s">
        <v>31</v>
      </c>
      <c r="G68" s="224" t="s">
        <v>74</v>
      </c>
      <c r="H68" s="224" t="s">
        <v>143</v>
      </c>
      <c r="I68" s="224" t="s">
        <v>145</v>
      </c>
      <c r="J68" s="224" t="s">
        <v>280</v>
      </c>
      <c r="K68" s="225" t="s">
        <v>281</v>
      </c>
    </row>
    <row r="69" spans="1:11" ht="15.75" thickBot="1" x14ac:dyDescent="0.3">
      <c r="A69" s="196"/>
      <c r="B69" s="270">
        <f>+ExchRate!Z20</f>
        <v>0</v>
      </c>
      <c r="C69" s="226">
        <f>+ExchRate!Z23</f>
        <v>0</v>
      </c>
      <c r="D69" s="272">
        <f>+ExchRate!Z19</f>
        <v>0.19592999999999999</v>
      </c>
      <c r="E69" s="272">
        <f>+ExchRate!Z24</f>
        <v>0</v>
      </c>
      <c r="F69" s="272">
        <f>+ExchRate!Z21</f>
        <v>0</v>
      </c>
      <c r="G69" s="272">
        <f>+ExchRate!Z18</f>
        <v>0</v>
      </c>
      <c r="H69" s="272">
        <f>+ExchRate!Z22</f>
        <v>0</v>
      </c>
      <c r="I69" s="272">
        <f>+ExchRate!Z26</f>
        <v>0</v>
      </c>
      <c r="J69" s="272">
        <f>+ExchRate!Z25</f>
        <v>0</v>
      </c>
      <c r="K69" s="271">
        <f>+ExchRate!AO19</f>
        <v>0</v>
      </c>
    </row>
    <row r="71" spans="1:11" s="214" customFormat="1" ht="6" customHeight="1" x14ac:dyDescent="0.25"/>
    <row r="73" spans="1:11" ht="15.75" x14ac:dyDescent="0.25">
      <c r="A73" s="195" t="s">
        <v>49</v>
      </c>
    </row>
    <row r="74" spans="1:11" ht="15.75" thickBot="1" x14ac:dyDescent="0.3"/>
    <row r="75" spans="1:11" ht="27.75" customHeight="1" thickBot="1" x14ac:dyDescent="0.3">
      <c r="A75" s="316" t="s">
        <v>263</v>
      </c>
      <c r="B75" s="316" t="s">
        <v>282</v>
      </c>
      <c r="C75" s="222" t="s">
        <v>283</v>
      </c>
      <c r="D75" s="222" t="s">
        <v>284</v>
      </c>
      <c r="E75" s="222" t="s">
        <v>285</v>
      </c>
      <c r="F75" s="222" t="s">
        <v>286</v>
      </c>
      <c r="G75" s="316" t="s">
        <v>287</v>
      </c>
      <c r="H75" s="316" t="s">
        <v>288</v>
      </c>
      <c r="I75" s="318" t="s">
        <v>289</v>
      </c>
    </row>
    <row r="76" spans="1:11" ht="24" customHeight="1" thickBot="1" x14ac:dyDescent="0.3">
      <c r="A76" s="317"/>
      <c r="B76" s="317"/>
      <c r="C76" s="222" t="s">
        <v>290</v>
      </c>
      <c r="D76" s="222" t="s">
        <v>291</v>
      </c>
      <c r="E76" s="222" t="s">
        <v>292</v>
      </c>
      <c r="F76" s="222" t="s">
        <v>293</v>
      </c>
      <c r="G76" s="317"/>
      <c r="H76" s="317"/>
      <c r="I76" s="319"/>
    </row>
    <row r="77" spans="1:11" ht="15.75" thickBot="1" x14ac:dyDescent="0.3">
      <c r="A77" s="221"/>
      <c r="B77" s="227"/>
      <c r="C77" s="227"/>
      <c r="D77" s="227"/>
      <c r="E77" s="227"/>
      <c r="F77" s="227"/>
      <c r="G77" s="227"/>
      <c r="H77" s="227"/>
      <c r="I77" s="228"/>
    </row>
  </sheetData>
  <mergeCells count="19">
    <mergeCell ref="A67:J67"/>
    <mergeCell ref="A75:A76"/>
    <mergeCell ref="B75:B76"/>
    <mergeCell ref="G75:G76"/>
    <mergeCell ref="H75:H76"/>
    <mergeCell ref="I75:I76"/>
    <mergeCell ref="A35:C35"/>
    <mergeCell ref="D35:F35"/>
    <mergeCell ref="A25:C25"/>
    <mergeCell ref="A28:C28"/>
    <mergeCell ref="A27:C27"/>
    <mergeCell ref="A24:C24"/>
    <mergeCell ref="A21:C21"/>
    <mergeCell ref="A5:C5"/>
    <mergeCell ref="A7:C7"/>
    <mergeCell ref="A6:C6"/>
    <mergeCell ref="A8:C8"/>
    <mergeCell ref="A22:C22"/>
    <mergeCell ref="A14:D14"/>
  </mergeCell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"/>
  <dimension ref="A1:G20"/>
  <sheetViews>
    <sheetView workbookViewId="0">
      <selection activeCell="G14" sqref="G14"/>
    </sheetView>
  </sheetViews>
  <sheetFormatPr baseColWidth="10" defaultRowHeight="15" x14ac:dyDescent="0.25"/>
  <cols>
    <col min="1" max="1" width="11.85546875" customWidth="1"/>
    <col min="3" max="3" width="12.5703125" style="237" bestFit="1" customWidth="1"/>
    <col min="6" max="6" width="11.42578125" style="237"/>
  </cols>
  <sheetData>
    <row r="1" spans="1:7" x14ac:dyDescent="0.25">
      <c r="A1" s="320" t="s">
        <v>299</v>
      </c>
      <c r="B1" s="320"/>
      <c r="C1" s="320"/>
      <c r="D1" t="s">
        <v>217</v>
      </c>
      <c r="E1" t="s">
        <v>217</v>
      </c>
      <c r="F1" s="320" t="s">
        <v>306</v>
      </c>
      <c r="G1" s="320"/>
    </row>
    <row r="2" spans="1:7" x14ac:dyDescent="0.25">
      <c r="A2" s="241" t="s">
        <v>299</v>
      </c>
      <c r="B2" s="241" t="s">
        <v>304</v>
      </c>
      <c r="C2" s="241" t="s">
        <v>305</v>
      </c>
      <c r="D2" t="s">
        <v>217</v>
      </c>
      <c r="E2" t="s">
        <v>217</v>
      </c>
      <c r="F2" s="241" t="s">
        <v>308</v>
      </c>
      <c r="G2" s="241" t="s">
        <v>305</v>
      </c>
    </row>
    <row r="3" spans="1:7" x14ac:dyDescent="0.25">
      <c r="A3" t="s">
        <v>150</v>
      </c>
      <c r="B3" t="s">
        <v>307</v>
      </c>
      <c r="C3">
        <v>558.29</v>
      </c>
      <c r="D3" t="s">
        <v>217</v>
      </c>
      <c r="E3" t="s">
        <v>217</v>
      </c>
      <c r="F3" t="s">
        <v>310</v>
      </c>
      <c r="G3">
        <v>1.0847899999999999</v>
      </c>
    </row>
    <row r="4" spans="1:7" x14ac:dyDescent="0.25">
      <c r="A4" t="s">
        <v>28</v>
      </c>
      <c r="B4" t="s">
        <v>309</v>
      </c>
      <c r="C4">
        <v>38.680999999999997</v>
      </c>
      <c r="D4" t="s">
        <v>217</v>
      </c>
      <c r="E4" t="s">
        <v>217</v>
      </c>
      <c r="F4" t="s">
        <v>312</v>
      </c>
      <c r="G4">
        <v>5009.17</v>
      </c>
    </row>
    <row r="5" spans="1:7" x14ac:dyDescent="0.25">
      <c r="A5" t="s">
        <v>33</v>
      </c>
      <c r="B5" t="s">
        <v>311</v>
      </c>
      <c r="C5">
        <v>4648.7</v>
      </c>
      <c r="D5" t="s">
        <v>217</v>
      </c>
      <c r="E5" t="s">
        <v>217</v>
      </c>
      <c r="F5" t="s">
        <v>314</v>
      </c>
      <c r="G5">
        <v>0.14806</v>
      </c>
    </row>
    <row r="6" spans="1:7" x14ac:dyDescent="0.25">
      <c r="A6" t="s">
        <v>55</v>
      </c>
      <c r="B6" t="s">
        <v>313</v>
      </c>
      <c r="C6">
        <v>3.851</v>
      </c>
      <c r="D6" t="s">
        <v>217</v>
      </c>
      <c r="E6" t="s">
        <v>217</v>
      </c>
      <c r="F6" t="s">
        <v>316</v>
      </c>
      <c r="G6">
        <v>7.6800000000000002E-3</v>
      </c>
    </row>
    <row r="7" spans="1:7" x14ac:dyDescent="0.25">
      <c r="A7" t="s">
        <v>55</v>
      </c>
      <c r="B7" t="s">
        <v>315</v>
      </c>
      <c r="C7">
        <v>4.28</v>
      </c>
      <c r="D7" t="s">
        <v>217</v>
      </c>
      <c r="E7" t="s">
        <v>217</v>
      </c>
      <c r="F7" t="s">
        <v>318</v>
      </c>
      <c r="G7">
        <v>674.96299999999997</v>
      </c>
    </row>
    <row r="8" spans="1:7" x14ac:dyDescent="0.25">
      <c r="A8" t="s">
        <v>4</v>
      </c>
      <c r="B8" t="s">
        <v>317</v>
      </c>
      <c r="C8">
        <v>804.28</v>
      </c>
      <c r="D8" t="s">
        <v>217</v>
      </c>
      <c r="E8" t="s">
        <v>217</v>
      </c>
      <c r="F8" t="s">
        <v>320</v>
      </c>
      <c r="G8">
        <v>35.078800000000001</v>
      </c>
    </row>
    <row r="9" spans="1:7" x14ac:dyDescent="0.25">
      <c r="A9" t="s">
        <v>4</v>
      </c>
      <c r="B9" t="s">
        <v>319</v>
      </c>
      <c r="C9">
        <v>873.08</v>
      </c>
      <c r="D9" t="s">
        <v>217</v>
      </c>
      <c r="E9" t="s">
        <v>217</v>
      </c>
      <c r="F9" t="s">
        <v>321</v>
      </c>
      <c r="G9">
        <v>0.19592999999999999</v>
      </c>
    </row>
    <row r="10" spans="1:7" x14ac:dyDescent="0.25">
      <c r="A10" t="s">
        <v>42</v>
      </c>
      <c r="B10" t="s">
        <v>343</v>
      </c>
      <c r="C10"/>
      <c r="D10" t="s">
        <v>217</v>
      </c>
      <c r="E10" t="s">
        <v>217</v>
      </c>
      <c r="F10" t="s">
        <v>322</v>
      </c>
      <c r="G10">
        <v>8.0999999999999996E-4</v>
      </c>
    </row>
    <row r="11" spans="1:7" x14ac:dyDescent="0.25">
      <c r="A11" t="s">
        <v>12</v>
      </c>
      <c r="B11" t="s">
        <v>344</v>
      </c>
      <c r="C11"/>
      <c r="D11" t="s">
        <v>217</v>
      </c>
      <c r="E11" t="s">
        <v>217</v>
      </c>
      <c r="F11" t="s">
        <v>317</v>
      </c>
      <c r="G11">
        <v>804.30899999999997</v>
      </c>
    </row>
    <row r="12" spans="1:7" x14ac:dyDescent="0.25">
      <c r="A12" t="s">
        <v>217</v>
      </c>
      <c r="B12" t="s">
        <v>217</v>
      </c>
      <c r="C12" t="s">
        <v>217</v>
      </c>
      <c r="D12" t="s">
        <v>217</v>
      </c>
      <c r="E12" t="s">
        <v>217</v>
      </c>
      <c r="F12" t="s">
        <v>319</v>
      </c>
      <c r="G12">
        <v>872.63499999999999</v>
      </c>
    </row>
    <row r="13" spans="1:7" x14ac:dyDescent="0.25">
      <c r="A13" t="s">
        <v>217</v>
      </c>
      <c r="B13" t="s">
        <v>217</v>
      </c>
      <c r="C13" t="s">
        <v>217</v>
      </c>
      <c r="D13" t="s">
        <v>217</v>
      </c>
      <c r="E13" t="s">
        <v>217</v>
      </c>
      <c r="F13" t="s">
        <v>345</v>
      </c>
      <c r="G13">
        <v>0.19592999999999999</v>
      </c>
    </row>
    <row r="14" spans="1:7" x14ac:dyDescent="0.25">
      <c r="A14" t="s">
        <v>217</v>
      </c>
      <c r="B14" t="s">
        <v>217</v>
      </c>
      <c r="C14" t="s">
        <v>217</v>
      </c>
      <c r="D14" t="s">
        <v>217</v>
      </c>
      <c r="E14" t="s">
        <v>217</v>
      </c>
      <c r="F14" t="s">
        <v>346</v>
      </c>
    </row>
    <row r="15" spans="1:7" x14ac:dyDescent="0.25">
      <c r="A15" t="s">
        <v>217</v>
      </c>
      <c r="B15" t="s">
        <v>217</v>
      </c>
      <c r="C15" t="s">
        <v>217</v>
      </c>
      <c r="D15" t="s">
        <v>217</v>
      </c>
      <c r="E15" t="s">
        <v>217</v>
      </c>
      <c r="F15" t="s">
        <v>347</v>
      </c>
    </row>
    <row r="16" spans="1:7" x14ac:dyDescent="0.25">
      <c r="A16" t="s">
        <v>217</v>
      </c>
      <c r="B16" t="s">
        <v>217</v>
      </c>
      <c r="C16" t="s">
        <v>217</v>
      </c>
      <c r="D16" t="s">
        <v>217</v>
      </c>
      <c r="E16" t="s">
        <v>217</v>
      </c>
      <c r="F16" t="s">
        <v>348</v>
      </c>
    </row>
    <row r="17" spans="1:6" x14ac:dyDescent="0.25">
      <c r="A17" t="s">
        <v>217</v>
      </c>
      <c r="B17" t="s">
        <v>217</v>
      </c>
      <c r="C17" t="s">
        <v>217</v>
      </c>
      <c r="D17" t="s">
        <v>217</v>
      </c>
      <c r="E17" t="s">
        <v>217</v>
      </c>
      <c r="F17" t="s">
        <v>349</v>
      </c>
    </row>
    <row r="18" spans="1:6" x14ac:dyDescent="0.25">
      <c r="A18" t="s">
        <v>217</v>
      </c>
      <c r="B18" t="s">
        <v>217</v>
      </c>
      <c r="C18" t="s">
        <v>217</v>
      </c>
      <c r="D18" t="s">
        <v>217</v>
      </c>
      <c r="E18" t="s">
        <v>217</v>
      </c>
      <c r="F18" t="s">
        <v>350</v>
      </c>
    </row>
    <row r="19" spans="1:6" x14ac:dyDescent="0.25">
      <c r="A19" t="s">
        <v>217</v>
      </c>
      <c r="B19" t="s">
        <v>217</v>
      </c>
      <c r="C19" t="s">
        <v>217</v>
      </c>
      <c r="D19" t="s">
        <v>217</v>
      </c>
      <c r="E19" t="s">
        <v>217</v>
      </c>
      <c r="F19" t="s">
        <v>351</v>
      </c>
    </row>
    <row r="20" spans="1:6" x14ac:dyDescent="0.25">
      <c r="A20" t="s">
        <v>217</v>
      </c>
      <c r="B20" t="s">
        <v>217</v>
      </c>
      <c r="C20" t="s">
        <v>217</v>
      </c>
      <c r="D20" t="s">
        <v>217</v>
      </c>
      <c r="E20" t="s">
        <v>217</v>
      </c>
      <c r="F20" t="s">
        <v>352</v>
      </c>
    </row>
  </sheetData>
  <mergeCells count="2">
    <mergeCell ref="F1:G1"/>
    <mergeCell ref="A1:C1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18"/>
  <dimension ref="A1:Y26"/>
  <sheetViews>
    <sheetView workbookViewId="0">
      <selection activeCell="C2" sqref="C2"/>
    </sheetView>
  </sheetViews>
  <sheetFormatPr baseColWidth="10" defaultColWidth="11.42578125" defaultRowHeight="15" x14ac:dyDescent="0.25"/>
  <cols>
    <col min="5" max="5" width="11.85546875" bestFit="1" customWidth="1"/>
    <col min="11" max="11" width="15.28515625" customWidth="1"/>
  </cols>
  <sheetData>
    <row r="1" spans="1:25" x14ac:dyDescent="0.25">
      <c r="A1" s="107" t="s">
        <v>68</v>
      </c>
      <c r="B1" s="108" t="s">
        <v>70</v>
      </c>
      <c r="C1" s="108" t="s">
        <v>200</v>
      </c>
      <c r="D1" s="108" t="s">
        <v>201</v>
      </c>
      <c r="E1" s="108" t="s">
        <v>202</v>
      </c>
      <c r="F1" s="108" t="s">
        <v>203</v>
      </c>
      <c r="G1" s="108" t="s">
        <v>69</v>
      </c>
      <c r="H1" s="108" t="s">
        <v>204</v>
      </c>
      <c r="I1" s="109" t="s">
        <v>205</v>
      </c>
      <c r="K1" s="110" t="s">
        <v>206</v>
      </c>
      <c r="M1" s="107" t="s">
        <v>68</v>
      </c>
      <c r="N1" s="108" t="s">
        <v>70</v>
      </c>
      <c r="O1" s="108" t="s">
        <v>200</v>
      </c>
      <c r="P1" s="108" t="s">
        <v>201</v>
      </c>
      <c r="Q1" s="108" t="s">
        <v>202</v>
      </c>
      <c r="R1" s="108" t="s">
        <v>203</v>
      </c>
      <c r="S1" s="108" t="s">
        <v>69</v>
      </c>
      <c r="T1" s="108" t="s">
        <v>204</v>
      </c>
      <c r="U1" s="109" t="s">
        <v>205</v>
      </c>
    </row>
    <row r="2" spans="1:25" x14ac:dyDescent="0.25">
      <c r="A2" t="s">
        <v>84</v>
      </c>
      <c r="B2" t="s">
        <v>74</v>
      </c>
      <c r="C2">
        <f>+[1]Argentina!F28</f>
        <v>150.75</v>
      </c>
      <c r="G2" t="s">
        <v>207</v>
      </c>
      <c r="H2" s="111">
        <v>44835</v>
      </c>
      <c r="M2" t="s">
        <v>79</v>
      </c>
      <c r="N2" t="s">
        <v>74</v>
      </c>
      <c r="O2">
        <f>+[1]Colombia!F42</f>
        <v>4657.83</v>
      </c>
      <c r="S2" t="s">
        <v>207</v>
      </c>
      <c r="T2" s="111" t="s">
        <v>208</v>
      </c>
    </row>
    <row r="3" spans="1:25" x14ac:dyDescent="0.25">
      <c r="A3" t="s">
        <v>84</v>
      </c>
      <c r="B3" t="s">
        <v>31</v>
      </c>
      <c r="C3">
        <f>+[1]Argentina!F29</f>
        <v>145</v>
      </c>
      <c r="G3" t="s">
        <v>207</v>
      </c>
      <c r="H3" s="111">
        <v>44835</v>
      </c>
      <c r="M3" t="s">
        <v>82</v>
      </c>
      <c r="N3" t="s">
        <v>74</v>
      </c>
      <c r="O3">
        <f>+[1]Colombia!F42</f>
        <v>4657.83</v>
      </c>
      <c r="S3" t="s">
        <v>207</v>
      </c>
      <c r="T3" s="111" t="s">
        <v>208</v>
      </c>
    </row>
    <row r="4" spans="1:25" x14ac:dyDescent="0.25">
      <c r="A4" t="s">
        <v>79</v>
      </c>
      <c r="B4" t="s">
        <v>74</v>
      </c>
      <c r="C4">
        <f>+[1]Colombia!F42</f>
        <v>4657.83</v>
      </c>
      <c r="G4" t="s">
        <v>207</v>
      </c>
      <c r="H4" s="111">
        <v>44835</v>
      </c>
      <c r="M4" t="s">
        <v>83</v>
      </c>
      <c r="N4" t="s">
        <v>74</v>
      </c>
      <c r="O4">
        <f>+'[1]Costa Rica'!F25</f>
        <v>630.25</v>
      </c>
      <c r="S4" t="s">
        <v>207</v>
      </c>
      <c r="T4" s="111" t="s">
        <v>208</v>
      </c>
    </row>
    <row r="5" spans="1:25" x14ac:dyDescent="0.25">
      <c r="A5" t="s">
        <v>82</v>
      </c>
      <c r="B5" t="s">
        <v>74</v>
      </c>
      <c r="C5">
        <f>+[1]Colombia!F42</f>
        <v>4657.83</v>
      </c>
      <c r="G5" t="s">
        <v>207</v>
      </c>
      <c r="H5" s="111">
        <v>44835</v>
      </c>
      <c r="M5" t="s">
        <v>76</v>
      </c>
      <c r="N5" t="s">
        <v>74</v>
      </c>
      <c r="O5">
        <f>+[1]Chile!F29</f>
        <v>924.47</v>
      </c>
      <c r="S5" t="s">
        <v>207</v>
      </c>
      <c r="T5" s="111" t="s">
        <v>208</v>
      </c>
    </row>
    <row r="6" spans="1:25" x14ac:dyDescent="0.25">
      <c r="A6" t="s">
        <v>83</v>
      </c>
      <c r="B6" t="s">
        <v>74</v>
      </c>
      <c r="C6">
        <f>+'[1]Costa Rica'!F25</f>
        <v>630.25</v>
      </c>
      <c r="G6" t="s">
        <v>207</v>
      </c>
      <c r="H6" s="111">
        <v>44835</v>
      </c>
      <c r="M6" t="s">
        <v>76</v>
      </c>
      <c r="N6" t="s">
        <v>31</v>
      </c>
      <c r="O6">
        <f>+[1]Chile!F30</f>
        <v>950.72</v>
      </c>
      <c r="S6" t="s">
        <v>207</v>
      </c>
      <c r="T6" s="111" t="s">
        <v>208</v>
      </c>
    </row>
    <row r="7" spans="1:25" x14ac:dyDescent="0.25">
      <c r="A7" t="s">
        <v>76</v>
      </c>
      <c r="B7" t="s">
        <v>74</v>
      </c>
      <c r="C7">
        <f>+[1]Chile!F29</f>
        <v>924.47</v>
      </c>
      <c r="G7" t="s">
        <v>207</v>
      </c>
      <c r="H7" s="111">
        <v>44835</v>
      </c>
      <c r="M7" t="s">
        <v>77</v>
      </c>
      <c r="N7" t="s">
        <v>74</v>
      </c>
      <c r="O7">
        <f>+[1]Peru!F24</f>
        <v>4.0030000000000001</v>
      </c>
      <c r="S7" t="s">
        <v>207</v>
      </c>
      <c r="T7" s="111" t="s">
        <v>208</v>
      </c>
    </row>
    <row r="8" spans="1:25" x14ac:dyDescent="0.25">
      <c r="A8" t="s">
        <v>76</v>
      </c>
      <c r="B8" t="s">
        <v>31</v>
      </c>
      <c r="C8">
        <f>+[1]Chile!F30</f>
        <v>950.72</v>
      </c>
      <c r="G8" t="s">
        <v>207</v>
      </c>
      <c r="H8" s="111">
        <v>44835</v>
      </c>
      <c r="M8" t="s">
        <v>72</v>
      </c>
      <c r="N8" t="s">
        <v>74</v>
      </c>
      <c r="O8">
        <f>+[1]Uruguay!F25</f>
        <v>41.203000000000003</v>
      </c>
      <c r="Q8" s="97">
        <f ca="1">+TODAY()</f>
        <v>44963</v>
      </c>
      <c r="S8" t="s">
        <v>207</v>
      </c>
      <c r="T8" s="111" t="s">
        <v>208</v>
      </c>
      <c r="W8" s="97"/>
      <c r="X8" s="97"/>
      <c r="Y8" s="97"/>
    </row>
    <row r="9" spans="1:25" x14ac:dyDescent="0.25">
      <c r="A9" t="s">
        <v>77</v>
      </c>
      <c r="B9" t="s">
        <v>74</v>
      </c>
      <c r="C9">
        <f>+[1]Peru!F24</f>
        <v>4.0030000000000001</v>
      </c>
      <c r="G9" t="s">
        <v>207</v>
      </c>
      <c r="H9" s="111">
        <v>44835</v>
      </c>
      <c r="M9" t="s">
        <v>77</v>
      </c>
      <c r="N9" t="s">
        <v>74</v>
      </c>
      <c r="O9">
        <f>+[1]Peru!F24</f>
        <v>4.0030000000000001</v>
      </c>
      <c r="Q9" s="97">
        <f t="shared" ref="Q9:Q11" ca="1" si="0">+TODAY()</f>
        <v>44963</v>
      </c>
      <c r="S9" t="s">
        <v>209</v>
      </c>
      <c r="T9" s="111"/>
      <c r="U9" s="97"/>
    </row>
    <row r="10" spans="1:25" x14ac:dyDescent="0.25">
      <c r="A10" t="s">
        <v>72</v>
      </c>
      <c r="B10" t="s">
        <v>74</v>
      </c>
      <c r="C10">
        <f>+[1]Uruguay!F25</f>
        <v>41.203000000000003</v>
      </c>
      <c r="G10" t="s">
        <v>207</v>
      </c>
      <c r="H10" s="111">
        <v>44835</v>
      </c>
      <c r="M10" t="s">
        <v>79</v>
      </c>
      <c r="N10" t="s">
        <v>74</v>
      </c>
      <c r="O10">
        <f>+[1]Colombia!F43</f>
        <v>4636.83</v>
      </c>
      <c r="Q10" s="97">
        <f t="shared" ca="1" si="0"/>
        <v>44963</v>
      </c>
      <c r="S10" t="s">
        <v>209</v>
      </c>
      <c r="T10" s="111"/>
      <c r="U10" s="97"/>
    </row>
    <row r="11" spans="1:25" x14ac:dyDescent="0.25">
      <c r="A11" t="s">
        <v>77</v>
      </c>
      <c r="B11" t="s">
        <v>74</v>
      </c>
      <c r="C11">
        <f>+[1]Peru!F24</f>
        <v>4.0030000000000001</v>
      </c>
      <c r="E11" s="97">
        <f ca="1">+TODAY()</f>
        <v>44963</v>
      </c>
      <c r="G11" t="s">
        <v>209</v>
      </c>
      <c r="H11" s="111"/>
      <c r="M11" t="s">
        <v>82</v>
      </c>
      <c r="N11" t="s">
        <v>74</v>
      </c>
      <c r="O11">
        <f>+[1]Colombia!F43</f>
        <v>4636.83</v>
      </c>
      <c r="Q11" s="97">
        <f t="shared" ca="1" si="0"/>
        <v>44963</v>
      </c>
      <c r="S11" t="s">
        <v>209</v>
      </c>
      <c r="T11" s="111"/>
      <c r="U11" s="97"/>
    </row>
    <row r="12" spans="1:25" x14ac:dyDescent="0.25">
      <c r="A12" t="s">
        <v>79</v>
      </c>
      <c r="B12" t="s">
        <v>74</v>
      </c>
      <c r="C12">
        <f>+[1]Colombia!F43</f>
        <v>4636.83</v>
      </c>
      <c r="E12" s="97">
        <f t="shared" ref="E12:E13" ca="1" si="1">+TODAY()</f>
        <v>44963</v>
      </c>
      <c r="G12" t="s">
        <v>209</v>
      </c>
      <c r="H12" s="111"/>
      <c r="T12" s="111"/>
    </row>
    <row r="13" spans="1:25" x14ac:dyDescent="0.25">
      <c r="A13" t="s">
        <v>82</v>
      </c>
      <c r="B13" t="s">
        <v>74</v>
      </c>
      <c r="C13">
        <f>+[1]Colombia!F43</f>
        <v>4636.83</v>
      </c>
      <c r="E13" s="97">
        <f t="shared" ca="1" si="1"/>
        <v>44963</v>
      </c>
      <c r="G13" t="s">
        <v>209</v>
      </c>
      <c r="H13" s="111"/>
      <c r="Q13" s="97"/>
    </row>
    <row r="26" spans="6:6" x14ac:dyDescent="0.25">
      <c r="F26" t="s">
        <v>210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17"/>
  <dimension ref="A1:BB48"/>
  <sheetViews>
    <sheetView workbookViewId="0">
      <selection activeCell="C2" sqref="C2"/>
    </sheetView>
  </sheetViews>
  <sheetFormatPr baseColWidth="10" defaultColWidth="11.42578125" defaultRowHeight="15" x14ac:dyDescent="0.25"/>
  <cols>
    <col min="6" max="6" width="14.85546875" customWidth="1"/>
    <col min="9" max="9" width="15" customWidth="1"/>
    <col min="10" max="10" width="14.42578125" customWidth="1"/>
    <col min="11" max="11" width="14.85546875" customWidth="1"/>
    <col min="12" max="12" width="0" hidden="1" customWidth="1"/>
    <col min="13" max="13" width="7.28515625" customWidth="1"/>
    <col min="14" max="14" width="14.5703125" customWidth="1"/>
    <col min="15" max="15" width="15.7109375" bestFit="1" customWidth="1"/>
    <col min="22" max="22" width="14.140625" customWidth="1"/>
    <col min="23" max="23" width="12.42578125" customWidth="1"/>
    <col min="24" max="24" width="12" customWidth="1"/>
    <col min="25" max="25" width="0" hidden="1" customWidth="1"/>
    <col min="51" max="51" width="19.28515625" customWidth="1"/>
  </cols>
  <sheetData>
    <row r="1" spans="1:54" x14ac:dyDescent="0.25">
      <c r="A1" t="s">
        <v>189</v>
      </c>
      <c r="B1" s="98" t="s">
        <v>171</v>
      </c>
      <c r="C1" s="98" t="s">
        <v>172</v>
      </c>
      <c r="D1" s="98" t="s">
        <v>173</v>
      </c>
      <c r="E1" s="98" t="s">
        <v>174</v>
      </c>
      <c r="F1" s="98" t="s">
        <v>175</v>
      </c>
      <c r="G1" s="98" t="s">
        <v>176</v>
      </c>
      <c r="H1" s="98" t="s">
        <v>177</v>
      </c>
      <c r="I1" s="98" t="s">
        <v>178</v>
      </c>
      <c r="J1" s="98" t="s">
        <v>179</v>
      </c>
      <c r="K1" s="98" t="s">
        <v>180</v>
      </c>
      <c r="L1" s="98" t="s">
        <v>181</v>
      </c>
      <c r="N1" t="s">
        <v>186</v>
      </c>
      <c r="O1" s="98" t="s">
        <v>171</v>
      </c>
      <c r="P1" s="98" t="s">
        <v>172</v>
      </c>
      <c r="Q1" s="98" t="s">
        <v>173</v>
      </c>
      <c r="R1" s="99" t="s">
        <v>174</v>
      </c>
      <c r="S1" s="98" t="s">
        <v>175</v>
      </c>
      <c r="T1" s="98" t="s">
        <v>176</v>
      </c>
      <c r="U1" s="98" t="s">
        <v>177</v>
      </c>
      <c r="V1" s="100" t="s">
        <v>178</v>
      </c>
      <c r="W1" s="98" t="s">
        <v>179</v>
      </c>
      <c r="X1" s="98" t="s">
        <v>180</v>
      </c>
      <c r="Y1" s="98" t="s">
        <v>181</v>
      </c>
      <c r="AR1" s="98" t="s">
        <v>171</v>
      </c>
      <c r="AS1" s="98" t="s">
        <v>172</v>
      </c>
      <c r="AT1" s="98" t="s">
        <v>173</v>
      </c>
      <c r="AU1" s="98" t="s">
        <v>174</v>
      </c>
      <c r="AV1" s="98" t="s">
        <v>175</v>
      </c>
      <c r="AW1" s="98" t="s">
        <v>176</v>
      </c>
      <c r="AX1" s="98" t="s">
        <v>177</v>
      </c>
      <c r="AY1" s="98" t="s">
        <v>178</v>
      </c>
      <c r="AZ1" s="98" t="s">
        <v>179</v>
      </c>
      <c r="BA1" s="98" t="s">
        <v>180</v>
      </c>
      <c r="BB1" s="98" t="s">
        <v>181</v>
      </c>
    </row>
    <row r="2" spans="1:54" x14ac:dyDescent="0.25">
      <c r="B2" t="s">
        <v>95</v>
      </c>
      <c r="C2" t="s">
        <v>184</v>
      </c>
      <c r="D2" t="s">
        <v>182</v>
      </c>
      <c r="E2" s="95" t="s">
        <v>183</v>
      </c>
      <c r="F2" t="s">
        <v>96</v>
      </c>
      <c r="G2" t="s">
        <v>97</v>
      </c>
      <c r="H2" t="s">
        <v>74</v>
      </c>
      <c r="I2" s="96"/>
      <c r="J2" s="101" t="s">
        <v>185</v>
      </c>
      <c r="K2" s="101"/>
      <c r="O2" t="s">
        <v>95</v>
      </c>
      <c r="P2" t="s">
        <v>184</v>
      </c>
      <c r="Q2" t="s">
        <v>182</v>
      </c>
      <c r="R2" s="95" t="s">
        <v>183</v>
      </c>
      <c r="S2" t="s">
        <v>96</v>
      </c>
      <c r="T2" t="s">
        <v>97</v>
      </c>
      <c r="U2" t="s">
        <v>74</v>
      </c>
      <c r="V2" s="96"/>
      <c r="W2" s="101" t="s">
        <v>185</v>
      </c>
      <c r="X2" s="101"/>
      <c r="AR2" t="s">
        <v>95</v>
      </c>
      <c r="AS2" t="s">
        <v>184</v>
      </c>
      <c r="AT2" t="s">
        <v>182</v>
      </c>
      <c r="AU2" s="95" t="s">
        <v>183</v>
      </c>
      <c r="AV2" t="s">
        <v>96</v>
      </c>
      <c r="AW2" t="s">
        <v>97</v>
      </c>
      <c r="AX2" t="s">
        <v>74</v>
      </c>
      <c r="AY2" s="96">
        <v>2.4268899405411964E-2</v>
      </c>
      <c r="AZ2" s="101" t="s">
        <v>185</v>
      </c>
      <c r="BA2" s="101"/>
    </row>
    <row r="3" spans="1:54" x14ac:dyDescent="0.25">
      <c r="B3" t="s">
        <v>95</v>
      </c>
      <c r="C3" t="s">
        <v>184</v>
      </c>
      <c r="D3" t="s">
        <v>182</v>
      </c>
      <c r="E3" s="95" t="s">
        <v>183</v>
      </c>
      <c r="F3" t="s">
        <v>96</v>
      </c>
      <c r="G3" t="s">
        <v>74</v>
      </c>
      <c r="H3" t="s">
        <v>97</v>
      </c>
      <c r="I3" s="96"/>
      <c r="J3" s="101" t="s">
        <v>185</v>
      </c>
      <c r="K3" s="101"/>
      <c r="O3" t="s">
        <v>95</v>
      </c>
      <c r="P3" t="s">
        <v>184</v>
      </c>
      <c r="Q3" t="s">
        <v>182</v>
      </c>
      <c r="R3" s="95" t="s">
        <v>183</v>
      </c>
      <c r="S3" t="s">
        <v>96</v>
      </c>
      <c r="T3" t="s">
        <v>74</v>
      </c>
      <c r="U3" t="s">
        <v>97</v>
      </c>
      <c r="V3" s="96"/>
      <c r="W3" s="101" t="s">
        <v>185</v>
      </c>
      <c r="X3" s="101"/>
      <c r="AR3" t="s">
        <v>95</v>
      </c>
      <c r="AS3" t="s">
        <v>184</v>
      </c>
      <c r="AT3" t="s">
        <v>182</v>
      </c>
      <c r="AU3" s="95" t="s">
        <v>183</v>
      </c>
      <c r="AV3" t="s">
        <v>96</v>
      </c>
      <c r="AW3" t="s">
        <v>74</v>
      </c>
      <c r="AX3" t="s">
        <v>97</v>
      </c>
      <c r="AY3" s="96">
        <v>41.204999999999998</v>
      </c>
      <c r="AZ3" s="101" t="s">
        <v>185</v>
      </c>
      <c r="BA3" s="101"/>
    </row>
    <row r="4" spans="1:54" x14ac:dyDescent="0.25">
      <c r="B4" t="s">
        <v>124</v>
      </c>
      <c r="C4" t="s">
        <v>187</v>
      </c>
      <c r="D4" t="s">
        <v>182</v>
      </c>
      <c r="E4" s="95" t="s">
        <v>183</v>
      </c>
      <c r="F4" t="s">
        <v>125</v>
      </c>
      <c r="G4" t="s">
        <v>74</v>
      </c>
      <c r="H4" t="s">
        <v>126</v>
      </c>
      <c r="I4" s="96"/>
      <c r="J4" s="101" t="s">
        <v>185</v>
      </c>
      <c r="K4" s="101" t="s">
        <v>188</v>
      </c>
      <c r="O4" t="s">
        <v>124</v>
      </c>
      <c r="P4" t="s">
        <v>187</v>
      </c>
      <c r="Q4" t="s">
        <v>182</v>
      </c>
      <c r="R4" s="95" t="s">
        <v>183</v>
      </c>
      <c r="S4" t="s">
        <v>125</v>
      </c>
      <c r="T4" t="s">
        <v>74</v>
      </c>
      <c r="U4" t="s">
        <v>126</v>
      </c>
      <c r="V4" s="96"/>
      <c r="W4" s="101" t="s">
        <v>185</v>
      </c>
      <c r="X4" s="101" t="s">
        <v>188</v>
      </c>
      <c r="AP4" t="s">
        <v>190</v>
      </c>
      <c r="AR4" t="s">
        <v>124</v>
      </c>
      <c r="AS4" t="s">
        <v>187</v>
      </c>
      <c r="AT4" t="s">
        <v>182</v>
      </c>
      <c r="AU4" s="95" t="s">
        <v>183</v>
      </c>
      <c r="AV4" t="s">
        <v>125</v>
      </c>
      <c r="AW4" t="s">
        <v>74</v>
      </c>
      <c r="AX4" t="s">
        <v>126</v>
      </c>
      <c r="AY4" s="96">
        <v>619.92999999999995</v>
      </c>
      <c r="AZ4" s="101" t="s">
        <v>185</v>
      </c>
      <c r="BA4" s="101" t="s">
        <v>188</v>
      </c>
    </row>
    <row r="5" spans="1:54" x14ac:dyDescent="0.25">
      <c r="B5" t="s">
        <v>124</v>
      </c>
      <c r="C5" t="s">
        <v>187</v>
      </c>
      <c r="D5" t="s">
        <v>182</v>
      </c>
      <c r="E5" s="95" t="s">
        <v>183</v>
      </c>
      <c r="F5" t="s">
        <v>127</v>
      </c>
      <c r="G5" t="s">
        <v>74</v>
      </c>
      <c r="H5" t="s">
        <v>126</v>
      </c>
      <c r="I5" s="96"/>
      <c r="J5" s="101" t="s">
        <v>185</v>
      </c>
      <c r="K5" s="101" t="s">
        <v>188</v>
      </c>
      <c r="O5" t="s">
        <v>124</v>
      </c>
      <c r="P5" t="s">
        <v>187</v>
      </c>
      <c r="Q5" t="s">
        <v>182</v>
      </c>
      <c r="R5" s="95" t="s">
        <v>183</v>
      </c>
      <c r="S5" t="s">
        <v>127</v>
      </c>
      <c r="T5" t="s">
        <v>74</v>
      </c>
      <c r="U5" t="s">
        <v>126</v>
      </c>
      <c r="V5" s="96"/>
      <c r="W5" s="101" t="s">
        <v>185</v>
      </c>
      <c r="X5" s="101" t="s">
        <v>188</v>
      </c>
      <c r="AR5" t="s">
        <v>124</v>
      </c>
      <c r="AS5" t="s">
        <v>187</v>
      </c>
      <c r="AT5" t="s">
        <v>182</v>
      </c>
      <c r="AU5" s="95" t="s">
        <v>183</v>
      </c>
      <c r="AV5" t="s">
        <v>127</v>
      </c>
      <c r="AW5" t="s">
        <v>74</v>
      </c>
      <c r="AX5" t="s">
        <v>126</v>
      </c>
      <c r="AY5" s="96">
        <v>619.92999999999995</v>
      </c>
      <c r="AZ5" s="101" t="s">
        <v>185</v>
      </c>
      <c r="BA5" s="101" t="s">
        <v>188</v>
      </c>
    </row>
    <row r="6" spans="1:54" x14ac:dyDescent="0.25">
      <c r="B6" s="102" t="s">
        <v>98</v>
      </c>
      <c r="C6" s="102" t="s">
        <v>191</v>
      </c>
      <c r="D6" s="102" t="s">
        <v>182</v>
      </c>
      <c r="E6" s="103" t="s">
        <v>183</v>
      </c>
      <c r="F6" s="102" t="s">
        <v>99</v>
      </c>
      <c r="G6" s="102" t="s">
        <v>74</v>
      </c>
      <c r="H6" s="102" t="s">
        <v>100</v>
      </c>
      <c r="I6" s="102"/>
      <c r="J6" s="101" t="s">
        <v>185</v>
      </c>
      <c r="K6" s="101" t="s">
        <v>188</v>
      </c>
      <c r="O6" s="102" t="s">
        <v>98</v>
      </c>
      <c r="P6" s="102" t="s">
        <v>191</v>
      </c>
      <c r="Q6" s="102" t="s">
        <v>182</v>
      </c>
      <c r="R6" s="103" t="s">
        <v>183</v>
      </c>
      <c r="S6" s="102" t="s">
        <v>99</v>
      </c>
      <c r="T6" s="102" t="s">
        <v>74</v>
      </c>
      <c r="U6" s="102" t="s">
        <v>100</v>
      </c>
      <c r="V6" s="104"/>
      <c r="W6" s="101" t="s">
        <v>185</v>
      </c>
      <c r="X6" s="101" t="s">
        <v>188</v>
      </c>
      <c r="AR6" s="102" t="s">
        <v>98</v>
      </c>
      <c r="AS6" s="102" t="s">
        <v>191</v>
      </c>
      <c r="AT6" s="102" t="s">
        <v>182</v>
      </c>
      <c r="AU6" s="103" t="s">
        <v>183</v>
      </c>
      <c r="AV6" s="102" t="s">
        <v>99</v>
      </c>
      <c r="AW6" s="102" t="s">
        <v>74</v>
      </c>
      <c r="AX6" s="102" t="s">
        <v>100</v>
      </c>
      <c r="AY6" s="104">
        <v>961.44880000000001</v>
      </c>
      <c r="AZ6" s="101" t="s">
        <v>185</v>
      </c>
      <c r="BA6" s="101" t="s">
        <v>188</v>
      </c>
    </row>
    <row r="7" spans="1:54" x14ac:dyDescent="0.25">
      <c r="B7" s="102" t="s">
        <v>98</v>
      </c>
      <c r="C7" s="102" t="s">
        <v>191</v>
      </c>
      <c r="D7" s="102" t="s">
        <v>182</v>
      </c>
      <c r="E7" s="103" t="s">
        <v>183</v>
      </c>
      <c r="F7" s="102" t="s">
        <v>101</v>
      </c>
      <c r="G7" s="102" t="s">
        <v>74</v>
      </c>
      <c r="H7" s="102" t="s">
        <v>100</v>
      </c>
      <c r="I7" s="102"/>
      <c r="J7" s="101" t="s">
        <v>185</v>
      </c>
      <c r="K7" s="101" t="s">
        <v>188</v>
      </c>
      <c r="O7" s="102" t="s">
        <v>98</v>
      </c>
      <c r="P7" s="102" t="s">
        <v>191</v>
      </c>
      <c r="Q7" s="102" t="s">
        <v>182</v>
      </c>
      <c r="R7" s="103" t="s">
        <v>183</v>
      </c>
      <c r="S7" s="102" t="s">
        <v>101</v>
      </c>
      <c r="T7" s="102" t="s">
        <v>74</v>
      </c>
      <c r="U7" s="102" t="s">
        <v>100</v>
      </c>
      <c r="V7" s="104"/>
      <c r="W7" s="101" t="s">
        <v>185</v>
      </c>
      <c r="X7" s="101" t="s">
        <v>188</v>
      </c>
      <c r="AR7" s="102" t="s">
        <v>98</v>
      </c>
      <c r="AS7" s="102" t="s">
        <v>191</v>
      </c>
      <c r="AT7" s="102" t="s">
        <v>182</v>
      </c>
      <c r="AU7" s="103" t="s">
        <v>183</v>
      </c>
      <c r="AV7" s="102" t="s">
        <v>101</v>
      </c>
      <c r="AW7" s="102" t="s">
        <v>74</v>
      </c>
      <c r="AX7" s="102" t="s">
        <v>100</v>
      </c>
      <c r="AY7" s="104">
        <v>966.54300000000001</v>
      </c>
      <c r="AZ7" s="101" t="s">
        <v>185</v>
      </c>
      <c r="BA7" s="101" t="s">
        <v>188</v>
      </c>
    </row>
    <row r="8" spans="1:54" x14ac:dyDescent="0.25">
      <c r="B8" s="102" t="s">
        <v>98</v>
      </c>
      <c r="C8" s="102" t="s">
        <v>191</v>
      </c>
      <c r="D8" s="102" t="s">
        <v>182</v>
      </c>
      <c r="E8" s="103" t="s">
        <v>183</v>
      </c>
      <c r="F8" s="102" t="s">
        <v>103</v>
      </c>
      <c r="G8" s="102" t="s">
        <v>74</v>
      </c>
      <c r="H8" s="102" t="s">
        <v>100</v>
      </c>
      <c r="I8" s="102"/>
      <c r="J8" s="101" t="s">
        <v>185</v>
      </c>
      <c r="K8" s="101" t="s">
        <v>188</v>
      </c>
      <c r="O8" s="102" t="s">
        <v>98</v>
      </c>
      <c r="P8" s="102" t="s">
        <v>191</v>
      </c>
      <c r="Q8" s="102" t="s">
        <v>182</v>
      </c>
      <c r="R8" s="103" t="s">
        <v>183</v>
      </c>
      <c r="S8" s="102" t="s">
        <v>103</v>
      </c>
      <c r="T8" s="102" t="s">
        <v>74</v>
      </c>
      <c r="U8" s="102" t="s">
        <v>100</v>
      </c>
      <c r="V8" s="104"/>
      <c r="W8" s="101" t="s">
        <v>185</v>
      </c>
      <c r="X8" s="101" t="s">
        <v>188</v>
      </c>
      <c r="AR8" s="102" t="s">
        <v>98</v>
      </c>
      <c r="AS8" s="102" t="s">
        <v>191</v>
      </c>
      <c r="AT8" s="102" t="s">
        <v>182</v>
      </c>
      <c r="AU8" s="103" t="s">
        <v>183</v>
      </c>
      <c r="AV8" s="102" t="s">
        <v>103</v>
      </c>
      <c r="AW8" s="102" t="s">
        <v>74</v>
      </c>
      <c r="AX8" s="102" t="s">
        <v>100</v>
      </c>
      <c r="AY8" s="104">
        <v>924.47</v>
      </c>
      <c r="AZ8" s="101" t="s">
        <v>185</v>
      </c>
      <c r="BA8" s="101" t="s">
        <v>188</v>
      </c>
    </row>
    <row r="9" spans="1:54" x14ac:dyDescent="0.25">
      <c r="B9" s="102" t="s">
        <v>98</v>
      </c>
      <c r="C9" s="102" t="s">
        <v>191</v>
      </c>
      <c r="D9" s="102" t="s">
        <v>182</v>
      </c>
      <c r="E9" s="103" t="s">
        <v>183</v>
      </c>
      <c r="F9" s="102" t="s">
        <v>99</v>
      </c>
      <c r="G9" s="102" t="s">
        <v>31</v>
      </c>
      <c r="H9" s="102" t="s">
        <v>100</v>
      </c>
      <c r="I9" s="102"/>
      <c r="J9" s="101" t="s">
        <v>185</v>
      </c>
      <c r="K9" s="101" t="s">
        <v>188</v>
      </c>
      <c r="O9" s="102" t="s">
        <v>98</v>
      </c>
      <c r="P9" s="102" t="s">
        <v>191</v>
      </c>
      <c r="Q9" s="102" t="s">
        <v>182</v>
      </c>
      <c r="R9" s="103" t="s">
        <v>183</v>
      </c>
      <c r="S9" s="102" t="s">
        <v>99</v>
      </c>
      <c r="T9" s="102" t="s">
        <v>31</v>
      </c>
      <c r="U9" s="102" t="s">
        <v>100</v>
      </c>
      <c r="V9" s="104"/>
      <c r="W9" s="101" t="s">
        <v>185</v>
      </c>
      <c r="X9" s="101" t="s">
        <v>188</v>
      </c>
      <c r="AR9" s="102" t="s">
        <v>98</v>
      </c>
      <c r="AS9" s="102" t="s">
        <v>191</v>
      </c>
      <c r="AT9" s="102" t="s">
        <v>182</v>
      </c>
      <c r="AU9" s="103" t="s">
        <v>183</v>
      </c>
      <c r="AV9" s="102" t="s">
        <v>99</v>
      </c>
      <c r="AW9" s="102" t="s">
        <v>31</v>
      </c>
      <c r="AX9" s="102" t="s">
        <v>100</v>
      </c>
      <c r="AY9" s="104">
        <v>988.74880000000007</v>
      </c>
      <c r="AZ9" s="101" t="s">
        <v>185</v>
      </c>
      <c r="BA9" s="101" t="s">
        <v>188</v>
      </c>
    </row>
    <row r="10" spans="1:54" x14ac:dyDescent="0.25">
      <c r="B10" s="102" t="s">
        <v>98</v>
      </c>
      <c r="C10" s="102" t="s">
        <v>191</v>
      </c>
      <c r="D10" s="102" t="s">
        <v>182</v>
      </c>
      <c r="E10" s="103" t="s">
        <v>183</v>
      </c>
      <c r="F10" s="102" t="s">
        <v>101</v>
      </c>
      <c r="G10" s="102" t="s">
        <v>31</v>
      </c>
      <c r="H10" s="102" t="s">
        <v>100</v>
      </c>
      <c r="I10" s="102"/>
      <c r="J10" s="101" t="s">
        <v>185</v>
      </c>
      <c r="K10" s="101" t="s">
        <v>188</v>
      </c>
      <c r="O10" s="102" t="s">
        <v>98</v>
      </c>
      <c r="P10" s="102" t="s">
        <v>191</v>
      </c>
      <c r="Q10" s="102" t="s">
        <v>182</v>
      </c>
      <c r="R10" s="103" t="s">
        <v>183</v>
      </c>
      <c r="S10" s="102" t="s">
        <v>101</v>
      </c>
      <c r="T10" s="102" t="s">
        <v>31</v>
      </c>
      <c r="U10" s="102" t="s">
        <v>100</v>
      </c>
      <c r="V10" s="104"/>
      <c r="W10" s="101" t="s">
        <v>185</v>
      </c>
      <c r="X10" s="101" t="s">
        <v>188</v>
      </c>
      <c r="AR10" s="102" t="s">
        <v>98</v>
      </c>
      <c r="AS10" s="102" t="s">
        <v>191</v>
      </c>
      <c r="AT10" s="102" t="s">
        <v>182</v>
      </c>
      <c r="AU10" s="103" t="s">
        <v>183</v>
      </c>
      <c r="AV10" s="102" t="s">
        <v>101</v>
      </c>
      <c r="AW10" s="102" t="s">
        <v>31</v>
      </c>
      <c r="AX10" s="102" t="s">
        <v>100</v>
      </c>
      <c r="AY10" s="104">
        <v>945.798</v>
      </c>
      <c r="AZ10" s="101" t="s">
        <v>185</v>
      </c>
      <c r="BA10" s="101" t="s">
        <v>188</v>
      </c>
    </row>
    <row r="11" spans="1:54" x14ac:dyDescent="0.25">
      <c r="B11" s="102" t="s">
        <v>98</v>
      </c>
      <c r="C11" s="102" t="s">
        <v>191</v>
      </c>
      <c r="D11" s="102" t="s">
        <v>182</v>
      </c>
      <c r="E11" s="103" t="s">
        <v>183</v>
      </c>
      <c r="F11" s="102" t="s">
        <v>103</v>
      </c>
      <c r="G11" s="102" t="s">
        <v>31</v>
      </c>
      <c r="H11" s="102" t="s">
        <v>100</v>
      </c>
      <c r="I11" s="102"/>
      <c r="J11" s="101" t="s">
        <v>185</v>
      </c>
      <c r="K11" s="101" t="s">
        <v>188</v>
      </c>
      <c r="O11" s="102" t="s">
        <v>98</v>
      </c>
      <c r="P11" s="102" t="s">
        <v>191</v>
      </c>
      <c r="Q11" s="102" t="s">
        <v>182</v>
      </c>
      <c r="R11" s="103" t="s">
        <v>183</v>
      </c>
      <c r="S11" s="102" t="s">
        <v>103</v>
      </c>
      <c r="T11" s="102" t="s">
        <v>31</v>
      </c>
      <c r="U11" s="102" t="s">
        <v>100</v>
      </c>
      <c r="V11" s="104"/>
      <c r="W11" s="101" t="s">
        <v>185</v>
      </c>
      <c r="X11" s="101" t="s">
        <v>188</v>
      </c>
      <c r="AR11" s="102" t="s">
        <v>98</v>
      </c>
      <c r="AS11" s="102" t="s">
        <v>191</v>
      </c>
      <c r="AT11" s="102" t="s">
        <v>182</v>
      </c>
      <c r="AU11" s="103" t="s">
        <v>183</v>
      </c>
      <c r="AV11" s="102" t="s">
        <v>103</v>
      </c>
      <c r="AW11" s="102" t="s">
        <v>31</v>
      </c>
      <c r="AX11" s="102" t="s">
        <v>100</v>
      </c>
      <c r="AY11" s="104">
        <v>950.72</v>
      </c>
      <c r="AZ11" s="101" t="s">
        <v>185</v>
      </c>
      <c r="BA11" s="101" t="s">
        <v>188</v>
      </c>
    </row>
    <row r="12" spans="1:54" x14ac:dyDescent="0.25">
      <c r="B12" t="s">
        <v>104</v>
      </c>
      <c r="C12" t="s">
        <v>193</v>
      </c>
      <c r="D12" t="s">
        <v>182</v>
      </c>
      <c r="E12" s="95" t="s">
        <v>183</v>
      </c>
      <c r="F12" t="s">
        <v>105</v>
      </c>
      <c r="G12" t="s">
        <v>74</v>
      </c>
      <c r="H12" t="s">
        <v>106</v>
      </c>
      <c r="J12" s="101" t="s">
        <v>185</v>
      </c>
      <c r="K12" s="101" t="s">
        <v>188</v>
      </c>
      <c r="O12" t="s">
        <v>104</v>
      </c>
      <c r="P12" t="s">
        <v>193</v>
      </c>
      <c r="Q12" t="s">
        <v>182</v>
      </c>
      <c r="R12" s="95" t="s">
        <v>183</v>
      </c>
      <c r="S12" t="s">
        <v>105</v>
      </c>
      <c r="T12" t="s">
        <v>74</v>
      </c>
      <c r="U12" t="s">
        <v>106</v>
      </c>
      <c r="V12" s="104"/>
      <c r="W12" s="101" t="s">
        <v>185</v>
      </c>
      <c r="X12" s="101" t="s">
        <v>188</v>
      </c>
      <c r="AR12" t="s">
        <v>104</v>
      </c>
      <c r="AS12" t="s">
        <v>193</v>
      </c>
      <c r="AT12" t="s">
        <v>182</v>
      </c>
      <c r="AU12" s="95" t="s">
        <v>183</v>
      </c>
      <c r="AV12" t="s">
        <v>105</v>
      </c>
      <c r="AW12" t="s">
        <v>74</v>
      </c>
      <c r="AX12" t="s">
        <v>106</v>
      </c>
      <c r="AY12" s="96">
        <v>3.9849999999999999</v>
      </c>
      <c r="AZ12" s="101" t="s">
        <v>185</v>
      </c>
      <c r="BA12" s="101" t="s">
        <v>188</v>
      </c>
    </row>
    <row r="13" spans="1:54" x14ac:dyDescent="0.25">
      <c r="B13" t="s">
        <v>104</v>
      </c>
      <c r="C13" t="s">
        <v>193</v>
      </c>
      <c r="D13" t="s">
        <v>182</v>
      </c>
      <c r="E13" s="95" t="s">
        <v>183</v>
      </c>
      <c r="F13" t="s">
        <v>105</v>
      </c>
      <c r="G13" t="s">
        <v>106</v>
      </c>
      <c r="H13" t="s">
        <v>74</v>
      </c>
      <c r="J13" s="101" t="s">
        <v>185</v>
      </c>
      <c r="K13" s="101" t="s">
        <v>188</v>
      </c>
      <c r="O13" t="s">
        <v>104</v>
      </c>
      <c r="P13" t="s">
        <v>193</v>
      </c>
      <c r="Q13" t="s">
        <v>182</v>
      </c>
      <c r="R13" s="95" t="s">
        <v>183</v>
      </c>
      <c r="S13" t="s">
        <v>105</v>
      </c>
      <c r="T13" t="s">
        <v>106</v>
      </c>
      <c r="U13" t="s">
        <v>74</v>
      </c>
      <c r="V13" s="104"/>
      <c r="W13" s="101" t="s">
        <v>185</v>
      </c>
      <c r="X13" s="101" t="s">
        <v>188</v>
      </c>
      <c r="AR13" t="s">
        <v>104</v>
      </c>
      <c r="AS13" t="s">
        <v>193</v>
      </c>
      <c r="AT13" t="s">
        <v>182</v>
      </c>
      <c r="AU13" s="95" t="s">
        <v>183</v>
      </c>
      <c r="AV13" t="s">
        <v>105</v>
      </c>
      <c r="AW13" t="s">
        <v>106</v>
      </c>
      <c r="AX13" t="s">
        <v>74</v>
      </c>
      <c r="AY13" s="96">
        <v>0.25094102885821834</v>
      </c>
      <c r="AZ13" s="101" t="s">
        <v>185</v>
      </c>
      <c r="BA13" s="101" t="s">
        <v>188</v>
      </c>
    </row>
    <row r="14" spans="1:54" x14ac:dyDescent="0.25">
      <c r="B14" t="s">
        <v>104</v>
      </c>
      <c r="C14" t="s">
        <v>193</v>
      </c>
      <c r="D14" t="s">
        <v>182</v>
      </c>
      <c r="E14" s="95" t="s">
        <v>183</v>
      </c>
      <c r="F14" t="s">
        <v>105</v>
      </c>
      <c r="G14" t="s">
        <v>31</v>
      </c>
      <c r="H14" t="s">
        <v>74</v>
      </c>
      <c r="J14" s="101" t="s">
        <v>185</v>
      </c>
      <c r="K14" s="101" t="s">
        <v>188</v>
      </c>
      <c r="O14" t="s">
        <v>104</v>
      </c>
      <c r="P14" t="s">
        <v>193</v>
      </c>
      <c r="Q14" t="s">
        <v>182</v>
      </c>
      <c r="R14" s="95" t="s">
        <v>183</v>
      </c>
      <c r="S14" t="s">
        <v>105</v>
      </c>
      <c r="T14" t="s">
        <v>31</v>
      </c>
      <c r="U14" t="s">
        <v>74</v>
      </c>
      <c r="V14" s="104"/>
      <c r="W14" s="101" t="s">
        <v>185</v>
      </c>
      <c r="X14" s="101" t="s">
        <v>188</v>
      </c>
      <c r="AR14" t="s">
        <v>104</v>
      </c>
      <c r="AS14" t="s">
        <v>193</v>
      </c>
      <c r="AT14" t="s">
        <v>182</v>
      </c>
      <c r="AU14" s="95" t="s">
        <v>183</v>
      </c>
      <c r="AV14" t="s">
        <v>105</v>
      </c>
      <c r="AW14" t="s">
        <v>31</v>
      </c>
      <c r="AX14" t="s">
        <v>74</v>
      </c>
      <c r="AY14" s="96">
        <v>1.0732747804265999</v>
      </c>
      <c r="AZ14" s="101" t="s">
        <v>185</v>
      </c>
      <c r="BA14" s="101" t="s">
        <v>188</v>
      </c>
    </row>
    <row r="15" spans="1:54" x14ac:dyDescent="0.25">
      <c r="B15" t="s">
        <v>104</v>
      </c>
      <c r="C15" t="s">
        <v>193</v>
      </c>
      <c r="D15" t="s">
        <v>182</v>
      </c>
      <c r="E15" s="95" t="s">
        <v>183</v>
      </c>
      <c r="F15" t="s">
        <v>105</v>
      </c>
      <c r="G15" t="s">
        <v>31</v>
      </c>
      <c r="H15" t="s">
        <v>106</v>
      </c>
      <c r="J15" s="101" t="s">
        <v>185</v>
      </c>
      <c r="K15" s="101" t="s">
        <v>188</v>
      </c>
      <c r="O15" t="s">
        <v>104</v>
      </c>
      <c r="P15" t="s">
        <v>193</v>
      </c>
      <c r="Q15" t="s">
        <v>182</v>
      </c>
      <c r="R15" s="95" t="s">
        <v>183</v>
      </c>
      <c r="S15" t="s">
        <v>105</v>
      </c>
      <c r="T15" t="s">
        <v>31</v>
      </c>
      <c r="U15" t="s">
        <v>106</v>
      </c>
      <c r="V15" s="104"/>
      <c r="W15" s="101" t="s">
        <v>185</v>
      </c>
      <c r="X15" s="101" t="s">
        <v>188</v>
      </c>
      <c r="AR15" t="s">
        <v>104</v>
      </c>
      <c r="AS15" t="s">
        <v>193</v>
      </c>
      <c r="AT15" t="s">
        <v>182</v>
      </c>
      <c r="AU15" s="95" t="s">
        <v>183</v>
      </c>
      <c r="AV15" t="s">
        <v>105</v>
      </c>
      <c r="AW15" t="s">
        <v>31</v>
      </c>
      <c r="AX15" t="s">
        <v>106</v>
      </c>
      <c r="AY15" s="96">
        <v>4.2770000000000001</v>
      </c>
      <c r="AZ15" s="101" t="s">
        <v>185</v>
      </c>
      <c r="BA15" s="101" t="s">
        <v>188</v>
      </c>
    </row>
    <row r="16" spans="1:54" x14ac:dyDescent="0.25">
      <c r="B16" t="s">
        <v>104</v>
      </c>
      <c r="C16" t="s">
        <v>193</v>
      </c>
      <c r="D16" t="s">
        <v>182</v>
      </c>
      <c r="E16" s="95" t="s">
        <v>183</v>
      </c>
      <c r="F16" t="s">
        <v>105</v>
      </c>
      <c r="G16" t="s">
        <v>108</v>
      </c>
      <c r="H16" t="s">
        <v>74</v>
      </c>
      <c r="J16" s="101" t="s">
        <v>185</v>
      </c>
      <c r="K16" s="101" t="s">
        <v>188</v>
      </c>
      <c r="O16" t="s">
        <v>104</v>
      </c>
      <c r="P16" t="s">
        <v>193</v>
      </c>
      <c r="Q16" t="s">
        <v>182</v>
      </c>
      <c r="R16" s="95" t="s">
        <v>183</v>
      </c>
      <c r="S16" t="s">
        <v>105</v>
      </c>
      <c r="T16" t="s">
        <v>108</v>
      </c>
      <c r="U16" t="s">
        <v>74</v>
      </c>
      <c r="V16" s="104"/>
      <c r="W16" s="101" t="s">
        <v>185</v>
      </c>
      <c r="X16" s="101" t="s">
        <v>188</v>
      </c>
      <c r="AR16" t="s">
        <v>104</v>
      </c>
      <c r="AS16" t="s">
        <v>193</v>
      </c>
      <c r="AT16" t="s">
        <v>182</v>
      </c>
      <c r="AU16" s="95" t="s">
        <v>183</v>
      </c>
      <c r="AV16" t="s">
        <v>105</v>
      </c>
      <c r="AW16" t="s">
        <v>108</v>
      </c>
      <c r="AX16" t="s">
        <v>74</v>
      </c>
      <c r="AY16" s="96">
        <v>0.13891999999999999</v>
      </c>
      <c r="AZ16" s="101" t="s">
        <v>185</v>
      </c>
      <c r="BA16" s="101" t="s">
        <v>188</v>
      </c>
    </row>
    <row r="17" spans="2:53" x14ac:dyDescent="0.25">
      <c r="B17" s="101" t="s">
        <v>109</v>
      </c>
      <c r="C17" s="101" t="s">
        <v>192</v>
      </c>
      <c r="D17" s="101" t="s">
        <v>182</v>
      </c>
      <c r="E17" s="101" t="s">
        <v>183</v>
      </c>
      <c r="F17" s="101" t="s">
        <v>35</v>
      </c>
      <c r="G17" s="101" t="s">
        <v>74</v>
      </c>
      <c r="H17" s="101" t="s">
        <v>110</v>
      </c>
      <c r="I17" s="96"/>
      <c r="J17" s="101" t="s">
        <v>185</v>
      </c>
      <c r="K17" s="101" t="s">
        <v>188</v>
      </c>
      <c r="O17" s="101" t="s">
        <v>109</v>
      </c>
      <c r="P17" s="101" t="s">
        <v>192</v>
      </c>
      <c r="Q17" s="101" t="s">
        <v>182</v>
      </c>
      <c r="R17" s="101" t="s">
        <v>183</v>
      </c>
      <c r="S17" s="101" t="s">
        <v>35</v>
      </c>
      <c r="T17" s="101" t="s">
        <v>74</v>
      </c>
      <c r="U17" s="101" t="s">
        <v>110</v>
      </c>
      <c r="V17" s="96"/>
      <c r="W17" s="101" t="s">
        <v>185</v>
      </c>
      <c r="X17" s="101" t="s">
        <v>188</v>
      </c>
      <c r="AR17" s="101" t="s">
        <v>109</v>
      </c>
      <c r="AS17" s="101" t="s">
        <v>192</v>
      </c>
      <c r="AT17" s="101" t="s">
        <v>182</v>
      </c>
      <c r="AU17" s="101" t="s">
        <v>183</v>
      </c>
      <c r="AV17" s="101" t="s">
        <v>35</v>
      </c>
      <c r="AW17" s="101" t="s">
        <v>74</v>
      </c>
      <c r="AX17" s="101" t="s">
        <v>110</v>
      </c>
      <c r="AY17" s="96">
        <v>4636.83</v>
      </c>
      <c r="AZ17" s="101" t="s">
        <v>185</v>
      </c>
      <c r="BA17" s="101" t="s">
        <v>188</v>
      </c>
    </row>
    <row r="18" spans="2:53" x14ac:dyDescent="0.25">
      <c r="B18" s="101" t="s">
        <v>109</v>
      </c>
      <c r="C18" s="101" t="s">
        <v>192</v>
      </c>
      <c r="D18" s="101" t="s">
        <v>182</v>
      </c>
      <c r="E18" s="101" t="s">
        <v>183</v>
      </c>
      <c r="F18" s="101" t="s">
        <v>111</v>
      </c>
      <c r="G18" s="101" t="s">
        <v>74</v>
      </c>
      <c r="H18" s="101" t="s">
        <v>110</v>
      </c>
      <c r="I18" s="96"/>
      <c r="J18" s="101" t="s">
        <v>185</v>
      </c>
      <c r="K18" s="101" t="s">
        <v>188</v>
      </c>
      <c r="N18" s="101"/>
      <c r="O18" s="101" t="s">
        <v>109</v>
      </c>
      <c r="P18" s="101" t="s">
        <v>192</v>
      </c>
      <c r="Q18" s="101" t="s">
        <v>182</v>
      </c>
      <c r="R18" s="101" t="s">
        <v>183</v>
      </c>
      <c r="S18" s="101" t="s">
        <v>111</v>
      </c>
      <c r="T18" s="101" t="s">
        <v>74</v>
      </c>
      <c r="U18" s="101" t="s">
        <v>110</v>
      </c>
      <c r="V18" s="96"/>
      <c r="W18" s="101" t="s">
        <v>185</v>
      </c>
      <c r="X18" s="101" t="s">
        <v>188</v>
      </c>
      <c r="AR18" s="101" t="s">
        <v>109</v>
      </c>
      <c r="AS18" s="101" t="s">
        <v>192</v>
      </c>
      <c r="AT18" s="101" t="s">
        <v>182</v>
      </c>
      <c r="AU18" s="101" t="s">
        <v>183</v>
      </c>
      <c r="AV18" s="101" t="s">
        <v>111</v>
      </c>
      <c r="AW18" s="101" t="s">
        <v>74</v>
      </c>
      <c r="AX18" s="101" t="s">
        <v>110</v>
      </c>
      <c r="AY18" s="96">
        <v>4649.83</v>
      </c>
      <c r="AZ18" s="101" t="s">
        <v>185</v>
      </c>
      <c r="BA18" s="101" t="s">
        <v>188</v>
      </c>
    </row>
    <row r="19" spans="2:53" x14ac:dyDescent="0.25">
      <c r="B19" s="101" t="s">
        <v>109</v>
      </c>
      <c r="C19" s="101" t="s">
        <v>192</v>
      </c>
      <c r="D19" s="101" t="s">
        <v>182</v>
      </c>
      <c r="E19" s="101" t="s">
        <v>183</v>
      </c>
      <c r="F19" s="101" t="s">
        <v>112</v>
      </c>
      <c r="G19" s="101" t="s">
        <v>74</v>
      </c>
      <c r="H19" s="101" t="s">
        <v>110</v>
      </c>
      <c r="I19" s="96"/>
      <c r="J19" s="101" t="s">
        <v>185</v>
      </c>
      <c r="K19" s="101" t="s">
        <v>188</v>
      </c>
      <c r="O19" s="101" t="s">
        <v>109</v>
      </c>
      <c r="P19" s="101" t="s">
        <v>192</v>
      </c>
      <c r="Q19" s="101" t="s">
        <v>182</v>
      </c>
      <c r="R19" s="101" t="s">
        <v>183</v>
      </c>
      <c r="S19" s="101" t="s">
        <v>112</v>
      </c>
      <c r="T19" s="101" t="s">
        <v>74</v>
      </c>
      <c r="U19" s="101" t="s">
        <v>110</v>
      </c>
      <c r="V19" s="96"/>
      <c r="W19" s="101" t="s">
        <v>185</v>
      </c>
      <c r="X19" s="101" t="s">
        <v>188</v>
      </c>
      <c r="AR19" s="101" t="s">
        <v>109</v>
      </c>
      <c r="AS19" s="101" t="s">
        <v>192</v>
      </c>
      <c r="AT19" s="101" t="s">
        <v>182</v>
      </c>
      <c r="AU19" s="101" t="s">
        <v>183</v>
      </c>
      <c r="AV19" s="101" t="s">
        <v>112</v>
      </c>
      <c r="AW19" s="101" t="s">
        <v>74</v>
      </c>
      <c r="AX19" s="101" t="s">
        <v>110</v>
      </c>
      <c r="AY19" s="96">
        <v>4657.83</v>
      </c>
      <c r="AZ19" s="101" t="s">
        <v>185</v>
      </c>
      <c r="BA19" s="101" t="s">
        <v>188</v>
      </c>
    </row>
    <row r="20" spans="2:53" x14ac:dyDescent="0.25">
      <c r="B20" s="101" t="s">
        <v>109</v>
      </c>
      <c r="C20" s="101" t="s">
        <v>192</v>
      </c>
      <c r="D20" s="101" t="s">
        <v>182</v>
      </c>
      <c r="E20" s="101" t="s">
        <v>183</v>
      </c>
      <c r="F20" s="101" t="s">
        <v>113</v>
      </c>
      <c r="G20" s="101" t="s">
        <v>74</v>
      </c>
      <c r="H20" s="101" t="s">
        <v>110</v>
      </c>
      <c r="I20" s="96"/>
      <c r="J20" s="101" t="s">
        <v>185</v>
      </c>
      <c r="K20" s="101" t="s">
        <v>188</v>
      </c>
      <c r="O20" s="101" t="s">
        <v>109</v>
      </c>
      <c r="P20" s="101" t="s">
        <v>192</v>
      </c>
      <c r="Q20" s="101" t="s">
        <v>182</v>
      </c>
      <c r="R20" s="101" t="s">
        <v>183</v>
      </c>
      <c r="S20" s="101" t="s">
        <v>113</v>
      </c>
      <c r="T20" s="101" t="s">
        <v>74</v>
      </c>
      <c r="U20" s="101" t="s">
        <v>110</v>
      </c>
      <c r="V20" s="96"/>
      <c r="W20" s="101" t="s">
        <v>185</v>
      </c>
      <c r="X20" s="101" t="s">
        <v>188</v>
      </c>
      <c r="AR20" s="101" t="s">
        <v>109</v>
      </c>
      <c r="AS20" s="101" t="s">
        <v>192</v>
      </c>
      <c r="AT20" s="101" t="s">
        <v>182</v>
      </c>
      <c r="AU20" s="101" t="s">
        <v>183</v>
      </c>
      <c r="AV20" s="101" t="s">
        <v>113</v>
      </c>
      <c r="AW20" s="101" t="s">
        <v>74</v>
      </c>
      <c r="AX20" s="101" t="s">
        <v>110</v>
      </c>
      <c r="AY20" s="96">
        <v>4666.83</v>
      </c>
      <c r="AZ20" s="101" t="s">
        <v>185</v>
      </c>
      <c r="BA20" s="101" t="s">
        <v>188</v>
      </c>
    </row>
    <row r="21" spans="2:53" x14ac:dyDescent="0.25">
      <c r="B21" s="101" t="s">
        <v>109</v>
      </c>
      <c r="C21" s="101" t="s">
        <v>192</v>
      </c>
      <c r="D21" s="101" t="s">
        <v>182</v>
      </c>
      <c r="E21" s="101" t="s">
        <v>183</v>
      </c>
      <c r="F21" s="101" t="s">
        <v>114</v>
      </c>
      <c r="G21" s="101" t="s">
        <v>74</v>
      </c>
      <c r="H21" s="101" t="s">
        <v>110</v>
      </c>
      <c r="I21" s="96"/>
      <c r="J21" s="101" t="s">
        <v>185</v>
      </c>
      <c r="K21" s="101" t="s">
        <v>188</v>
      </c>
      <c r="O21" s="101" t="s">
        <v>109</v>
      </c>
      <c r="P21" s="101" t="s">
        <v>192</v>
      </c>
      <c r="Q21" s="101" t="s">
        <v>182</v>
      </c>
      <c r="R21" s="101" t="s">
        <v>183</v>
      </c>
      <c r="S21" s="101" t="s">
        <v>114</v>
      </c>
      <c r="T21" s="101" t="s">
        <v>74</v>
      </c>
      <c r="U21" s="101" t="s">
        <v>110</v>
      </c>
      <c r="V21" s="96"/>
      <c r="W21" s="101" t="s">
        <v>185</v>
      </c>
      <c r="X21" s="101" t="s">
        <v>188</v>
      </c>
      <c r="AR21" s="101" t="s">
        <v>109</v>
      </c>
      <c r="AS21" s="101" t="s">
        <v>192</v>
      </c>
      <c r="AT21" s="101" t="s">
        <v>182</v>
      </c>
      <c r="AU21" s="101" t="s">
        <v>183</v>
      </c>
      <c r="AV21" s="101" t="s">
        <v>114</v>
      </c>
      <c r="AW21" s="101" t="s">
        <v>74</v>
      </c>
      <c r="AX21" s="101" t="s">
        <v>110</v>
      </c>
      <c r="AY21" s="96">
        <v>4671.83</v>
      </c>
      <c r="AZ21" s="101" t="s">
        <v>185</v>
      </c>
      <c r="BA21" s="101" t="s">
        <v>188</v>
      </c>
    </row>
    <row r="22" spans="2:53" x14ac:dyDescent="0.25">
      <c r="B22" s="101" t="s">
        <v>109</v>
      </c>
      <c r="C22" s="101" t="s">
        <v>192</v>
      </c>
      <c r="D22" s="101" t="s">
        <v>182</v>
      </c>
      <c r="E22" s="101" t="s">
        <v>183</v>
      </c>
      <c r="F22" s="101" t="s">
        <v>115</v>
      </c>
      <c r="G22" s="101" t="s">
        <v>74</v>
      </c>
      <c r="H22" s="101" t="s">
        <v>110</v>
      </c>
      <c r="I22" s="96"/>
      <c r="J22" s="101" t="s">
        <v>185</v>
      </c>
      <c r="K22" s="101" t="s">
        <v>188</v>
      </c>
      <c r="O22" s="101" t="s">
        <v>109</v>
      </c>
      <c r="P22" s="101" t="s">
        <v>192</v>
      </c>
      <c r="Q22" s="101" t="s">
        <v>182</v>
      </c>
      <c r="R22" s="101" t="s">
        <v>183</v>
      </c>
      <c r="S22" s="101" t="s">
        <v>115</v>
      </c>
      <c r="T22" s="101" t="s">
        <v>74</v>
      </c>
      <c r="U22" s="101" t="s">
        <v>110</v>
      </c>
      <c r="V22" s="96"/>
      <c r="W22" s="101" t="s">
        <v>185</v>
      </c>
      <c r="X22" s="101" t="s">
        <v>188</v>
      </c>
      <c r="AR22" s="101" t="s">
        <v>109</v>
      </c>
      <c r="AS22" s="101" t="s">
        <v>192</v>
      </c>
      <c r="AT22" s="101" t="s">
        <v>182</v>
      </c>
      <c r="AU22" s="101" t="s">
        <v>183</v>
      </c>
      <c r="AV22" s="101" t="s">
        <v>115</v>
      </c>
      <c r="AW22" s="101" t="s">
        <v>74</v>
      </c>
      <c r="AX22" s="101" t="s">
        <v>110</v>
      </c>
      <c r="AY22" s="96">
        <v>4676.83</v>
      </c>
      <c r="AZ22" s="101" t="s">
        <v>185</v>
      </c>
      <c r="BA22" s="101" t="s">
        <v>188</v>
      </c>
    </row>
    <row r="23" spans="2:53" x14ac:dyDescent="0.25">
      <c r="B23" s="101" t="s">
        <v>109</v>
      </c>
      <c r="C23" s="101" t="s">
        <v>192</v>
      </c>
      <c r="D23" s="101" t="s">
        <v>182</v>
      </c>
      <c r="E23" s="101" t="s">
        <v>183</v>
      </c>
      <c r="F23" s="101" t="s">
        <v>116</v>
      </c>
      <c r="G23" s="101" t="s">
        <v>74</v>
      </c>
      <c r="H23" s="101" t="s">
        <v>110</v>
      </c>
      <c r="I23" s="96"/>
      <c r="J23" s="101" t="s">
        <v>185</v>
      </c>
      <c r="K23" s="101" t="s">
        <v>188</v>
      </c>
      <c r="N23" s="105"/>
      <c r="O23" s="101" t="s">
        <v>109</v>
      </c>
      <c r="P23" s="101" t="s">
        <v>192</v>
      </c>
      <c r="Q23" s="101" t="s">
        <v>182</v>
      </c>
      <c r="R23" s="101" t="s">
        <v>183</v>
      </c>
      <c r="S23" s="101" t="s">
        <v>116</v>
      </c>
      <c r="T23" s="101" t="s">
        <v>74</v>
      </c>
      <c r="U23" s="101" t="s">
        <v>110</v>
      </c>
      <c r="V23" s="96"/>
      <c r="W23" s="101" t="s">
        <v>185</v>
      </c>
      <c r="X23" s="101" t="s">
        <v>188</v>
      </c>
      <c r="AR23" s="101" t="s">
        <v>109</v>
      </c>
      <c r="AS23" s="101" t="s">
        <v>192</v>
      </c>
      <c r="AT23" s="101" t="s">
        <v>182</v>
      </c>
      <c r="AU23" s="101" t="s">
        <v>183</v>
      </c>
      <c r="AV23" s="101" t="s">
        <v>116</v>
      </c>
      <c r="AW23" s="101" t="s">
        <v>74</v>
      </c>
      <c r="AX23" s="101" t="s">
        <v>110</v>
      </c>
      <c r="AY23" s="96">
        <v>4681.83</v>
      </c>
      <c r="AZ23" s="101" t="s">
        <v>185</v>
      </c>
      <c r="BA23" s="101" t="s">
        <v>188</v>
      </c>
    </row>
    <row r="24" spans="2:53" x14ac:dyDescent="0.25">
      <c r="B24" s="101" t="s">
        <v>109</v>
      </c>
      <c r="C24" s="101" t="s">
        <v>192</v>
      </c>
      <c r="D24" s="101" t="s">
        <v>182</v>
      </c>
      <c r="E24" s="101" t="s">
        <v>183</v>
      </c>
      <c r="F24" s="101" t="s">
        <v>117</v>
      </c>
      <c r="G24" s="101" t="s">
        <v>74</v>
      </c>
      <c r="H24" s="101" t="s">
        <v>110</v>
      </c>
      <c r="I24" s="96"/>
      <c r="J24" s="101" t="s">
        <v>185</v>
      </c>
      <c r="K24" s="101" t="s">
        <v>188</v>
      </c>
      <c r="O24" s="101" t="s">
        <v>109</v>
      </c>
      <c r="P24" s="101" t="s">
        <v>192</v>
      </c>
      <c r="Q24" s="101" t="s">
        <v>182</v>
      </c>
      <c r="R24" s="101" t="s">
        <v>183</v>
      </c>
      <c r="S24" s="101" t="s">
        <v>117</v>
      </c>
      <c r="T24" s="101" t="s">
        <v>74</v>
      </c>
      <c r="U24" s="101" t="s">
        <v>110</v>
      </c>
      <c r="V24" s="96"/>
      <c r="W24" s="101" t="s">
        <v>185</v>
      </c>
      <c r="X24" s="101" t="s">
        <v>188</v>
      </c>
      <c r="AR24" s="101" t="s">
        <v>109</v>
      </c>
      <c r="AS24" s="101" t="s">
        <v>192</v>
      </c>
      <c r="AT24" s="101" t="s">
        <v>182</v>
      </c>
      <c r="AU24" s="101" t="s">
        <v>183</v>
      </c>
      <c r="AV24" s="101" t="s">
        <v>117</v>
      </c>
      <c r="AW24" s="101" t="s">
        <v>74</v>
      </c>
      <c r="AX24" s="101" t="s">
        <v>110</v>
      </c>
      <c r="AY24" s="96">
        <v>4686.83</v>
      </c>
      <c r="AZ24" s="101" t="s">
        <v>185</v>
      </c>
      <c r="BA24" s="101" t="s">
        <v>188</v>
      </c>
    </row>
    <row r="25" spans="2:53" x14ac:dyDescent="0.25">
      <c r="B25" s="101" t="s">
        <v>109</v>
      </c>
      <c r="C25" s="101" t="s">
        <v>192</v>
      </c>
      <c r="D25" s="101" t="s">
        <v>182</v>
      </c>
      <c r="E25" s="101" t="s">
        <v>183</v>
      </c>
      <c r="F25" s="101" t="s">
        <v>118</v>
      </c>
      <c r="G25" s="101" t="s">
        <v>74</v>
      </c>
      <c r="H25" s="101" t="s">
        <v>110</v>
      </c>
      <c r="I25" s="96"/>
      <c r="J25" s="101" t="s">
        <v>185</v>
      </c>
      <c r="K25" s="101" t="s">
        <v>188</v>
      </c>
      <c r="O25" s="101" t="s">
        <v>109</v>
      </c>
      <c r="P25" s="101" t="s">
        <v>192</v>
      </c>
      <c r="Q25" s="101" t="s">
        <v>182</v>
      </c>
      <c r="R25" s="101" t="s">
        <v>183</v>
      </c>
      <c r="S25" s="101" t="s">
        <v>118</v>
      </c>
      <c r="T25" s="101" t="s">
        <v>74</v>
      </c>
      <c r="U25" s="101" t="s">
        <v>110</v>
      </c>
      <c r="V25" s="96"/>
      <c r="W25" s="101" t="s">
        <v>185</v>
      </c>
      <c r="X25" s="101" t="s">
        <v>188</v>
      </c>
      <c r="AR25" s="101" t="s">
        <v>109</v>
      </c>
      <c r="AS25" s="101" t="s">
        <v>192</v>
      </c>
      <c r="AT25" s="101" t="s">
        <v>182</v>
      </c>
      <c r="AU25" s="101" t="s">
        <v>183</v>
      </c>
      <c r="AV25" s="101" t="s">
        <v>118</v>
      </c>
      <c r="AW25" s="101" t="s">
        <v>74</v>
      </c>
      <c r="AX25" s="101" t="s">
        <v>110</v>
      </c>
      <c r="AY25" s="96">
        <v>4691.83</v>
      </c>
      <c r="AZ25" s="101" t="s">
        <v>185</v>
      </c>
      <c r="BA25" s="101" t="s">
        <v>188</v>
      </c>
    </row>
    <row r="26" spans="2:53" x14ac:dyDescent="0.25">
      <c r="B26" s="101" t="s">
        <v>109</v>
      </c>
      <c r="C26" s="101" t="s">
        <v>192</v>
      </c>
      <c r="D26" s="101" t="s">
        <v>182</v>
      </c>
      <c r="E26" s="101" t="s">
        <v>183</v>
      </c>
      <c r="F26" s="101" t="s">
        <v>120</v>
      </c>
      <c r="G26" s="101" t="s">
        <v>74</v>
      </c>
      <c r="H26" s="101" t="s">
        <v>110</v>
      </c>
      <c r="I26" s="96"/>
      <c r="J26" s="101" t="s">
        <v>185</v>
      </c>
      <c r="K26" s="101" t="s">
        <v>188</v>
      </c>
      <c r="O26" s="101" t="s">
        <v>109</v>
      </c>
      <c r="P26" s="101" t="s">
        <v>192</v>
      </c>
      <c r="Q26" s="101" t="s">
        <v>182</v>
      </c>
      <c r="R26" s="101" t="s">
        <v>183</v>
      </c>
      <c r="S26" s="101" t="s">
        <v>120</v>
      </c>
      <c r="T26" s="101" t="s">
        <v>74</v>
      </c>
      <c r="U26" s="101" t="s">
        <v>110</v>
      </c>
      <c r="V26" s="96"/>
      <c r="W26" s="101" t="s">
        <v>185</v>
      </c>
      <c r="X26" s="101" t="s">
        <v>188</v>
      </c>
      <c r="AR26" s="101" t="s">
        <v>109</v>
      </c>
      <c r="AS26" s="101" t="s">
        <v>192</v>
      </c>
      <c r="AT26" s="101" t="s">
        <v>182</v>
      </c>
      <c r="AU26" s="101" t="s">
        <v>183</v>
      </c>
      <c r="AV26" s="101" t="s">
        <v>120</v>
      </c>
      <c r="AW26" s="101" t="s">
        <v>74</v>
      </c>
      <c r="AX26" s="101" t="s">
        <v>110</v>
      </c>
      <c r="AY26" s="96">
        <v>4706.83</v>
      </c>
      <c r="AZ26" s="101" t="s">
        <v>185</v>
      </c>
      <c r="BA26" s="101" t="s">
        <v>188</v>
      </c>
    </row>
    <row r="27" spans="2:53" x14ac:dyDescent="0.25">
      <c r="B27" s="101" t="s">
        <v>109</v>
      </c>
      <c r="C27" s="101" t="s">
        <v>192</v>
      </c>
      <c r="D27" s="101" t="s">
        <v>182</v>
      </c>
      <c r="E27" s="101" t="s">
        <v>183</v>
      </c>
      <c r="F27" s="101" t="s">
        <v>121</v>
      </c>
      <c r="G27" s="101" t="s">
        <v>31</v>
      </c>
      <c r="H27" s="101" t="s">
        <v>110</v>
      </c>
      <c r="I27" s="96"/>
      <c r="J27" s="101" t="s">
        <v>185</v>
      </c>
      <c r="K27" s="101" t="s">
        <v>188</v>
      </c>
      <c r="O27" s="101" t="s">
        <v>109</v>
      </c>
      <c r="P27" s="101" t="s">
        <v>192</v>
      </c>
      <c r="Q27" s="101" t="s">
        <v>182</v>
      </c>
      <c r="R27" s="101" t="s">
        <v>183</v>
      </c>
      <c r="S27" s="101" t="s">
        <v>121</v>
      </c>
      <c r="T27" s="101" t="s">
        <v>31</v>
      </c>
      <c r="U27" s="101" t="s">
        <v>110</v>
      </c>
      <c r="V27" s="96"/>
      <c r="W27" s="101" t="s">
        <v>185</v>
      </c>
      <c r="X27" s="101" t="s">
        <v>188</v>
      </c>
      <c r="AR27" s="101" t="s">
        <v>109</v>
      </c>
      <c r="AS27" s="101" t="s">
        <v>192</v>
      </c>
      <c r="AT27" s="101" t="s">
        <v>182</v>
      </c>
      <c r="AU27" s="101" t="s">
        <v>183</v>
      </c>
      <c r="AV27" s="101" t="s">
        <v>121</v>
      </c>
      <c r="AW27" s="101" t="s">
        <v>31</v>
      </c>
      <c r="AX27" s="101" t="s">
        <v>110</v>
      </c>
      <c r="AY27" s="96">
        <v>4603.07</v>
      </c>
      <c r="AZ27" s="101" t="s">
        <v>185</v>
      </c>
      <c r="BA27" s="101" t="s">
        <v>188</v>
      </c>
    </row>
    <row r="28" spans="2:53" x14ac:dyDescent="0.25">
      <c r="B28" s="101" t="s">
        <v>109</v>
      </c>
      <c r="C28" s="101" t="s">
        <v>192</v>
      </c>
      <c r="D28" s="101" t="s">
        <v>182</v>
      </c>
      <c r="E28" s="101" t="s">
        <v>183</v>
      </c>
      <c r="F28" s="101" t="s">
        <v>121</v>
      </c>
      <c r="G28" s="101" t="s">
        <v>31</v>
      </c>
      <c r="H28" s="101" t="s">
        <v>74</v>
      </c>
      <c r="I28" s="96"/>
      <c r="J28" s="101" t="s">
        <v>185</v>
      </c>
      <c r="K28" s="101" t="s">
        <v>188</v>
      </c>
      <c r="N28" s="105"/>
      <c r="O28" s="101" t="s">
        <v>109</v>
      </c>
      <c r="P28" s="101" t="s">
        <v>192</v>
      </c>
      <c r="Q28" s="101" t="s">
        <v>182</v>
      </c>
      <c r="R28" s="101" t="s">
        <v>183</v>
      </c>
      <c r="S28" s="101" t="s">
        <v>121</v>
      </c>
      <c r="T28" s="101" t="s">
        <v>31</v>
      </c>
      <c r="U28" s="101" t="s">
        <v>74</v>
      </c>
      <c r="V28" s="96"/>
      <c r="W28" s="101" t="s">
        <v>185</v>
      </c>
      <c r="X28" s="101" t="s">
        <v>188</v>
      </c>
      <c r="AR28" s="101" t="s">
        <v>109</v>
      </c>
      <c r="AS28" s="101" t="s">
        <v>192</v>
      </c>
      <c r="AT28" s="101" t="s">
        <v>182</v>
      </c>
      <c r="AU28" s="101" t="s">
        <v>183</v>
      </c>
      <c r="AV28" s="101" t="s">
        <v>121</v>
      </c>
      <c r="AW28" s="101" t="s">
        <v>31</v>
      </c>
      <c r="AX28" s="101" t="s">
        <v>74</v>
      </c>
      <c r="AY28" s="96">
        <v>0.97836999999999996</v>
      </c>
      <c r="AZ28" s="101" t="s">
        <v>185</v>
      </c>
      <c r="BA28" s="101" t="s">
        <v>188</v>
      </c>
    </row>
    <row r="29" spans="2:53" x14ac:dyDescent="0.25">
      <c r="B29" s="101" t="s">
        <v>109</v>
      </c>
      <c r="C29" s="101" t="s">
        <v>192</v>
      </c>
      <c r="D29" s="101" t="s">
        <v>182</v>
      </c>
      <c r="E29" s="101" t="s">
        <v>183</v>
      </c>
      <c r="F29" s="101" t="s">
        <v>121</v>
      </c>
      <c r="G29" s="101" t="s">
        <v>108</v>
      </c>
      <c r="H29" s="101" t="s">
        <v>74</v>
      </c>
      <c r="I29" s="96"/>
      <c r="J29" s="101" t="s">
        <v>185</v>
      </c>
      <c r="K29" s="101" t="s">
        <v>188</v>
      </c>
      <c r="O29" s="101" t="s">
        <v>109</v>
      </c>
      <c r="P29" s="101" t="s">
        <v>192</v>
      </c>
      <c r="Q29" s="101" t="s">
        <v>182</v>
      </c>
      <c r="R29" s="101" t="s">
        <v>183</v>
      </c>
      <c r="S29" s="101" t="s">
        <v>121</v>
      </c>
      <c r="T29" s="101" t="s">
        <v>108</v>
      </c>
      <c r="U29" s="101" t="s">
        <v>74</v>
      </c>
      <c r="V29" s="96"/>
      <c r="W29" s="101" t="s">
        <v>185</v>
      </c>
      <c r="X29" s="101" t="s">
        <v>188</v>
      </c>
      <c r="AR29" s="101" t="s">
        <v>109</v>
      </c>
      <c r="AS29" s="101" t="s">
        <v>192</v>
      </c>
      <c r="AT29" s="101" t="s">
        <v>182</v>
      </c>
      <c r="AU29" s="101" t="s">
        <v>183</v>
      </c>
      <c r="AV29" s="101" t="s">
        <v>121</v>
      </c>
      <c r="AW29" s="101" t="s">
        <v>108</v>
      </c>
      <c r="AX29" s="101" t="s">
        <v>74</v>
      </c>
      <c r="AY29" s="96">
        <v>0.13891999999999999</v>
      </c>
      <c r="AZ29" s="101" t="s">
        <v>185</v>
      </c>
      <c r="BA29" s="101" t="s">
        <v>188</v>
      </c>
    </row>
    <row r="30" spans="2:53" x14ac:dyDescent="0.25">
      <c r="B30" s="101" t="s">
        <v>109</v>
      </c>
      <c r="C30" s="101" t="s">
        <v>192</v>
      </c>
      <c r="D30" s="101" t="s">
        <v>182</v>
      </c>
      <c r="E30" s="101" t="s">
        <v>183</v>
      </c>
      <c r="F30" s="101" t="s">
        <v>121</v>
      </c>
      <c r="G30" s="101" t="s">
        <v>122</v>
      </c>
      <c r="H30" s="101" t="s">
        <v>74</v>
      </c>
      <c r="I30" s="96"/>
      <c r="J30" s="101" t="s">
        <v>185</v>
      </c>
      <c r="K30" s="101" t="s">
        <v>188</v>
      </c>
      <c r="N30" s="105"/>
      <c r="O30" s="101" t="s">
        <v>109</v>
      </c>
      <c r="P30" s="101" t="s">
        <v>192</v>
      </c>
      <c r="Q30" s="101" t="s">
        <v>182</v>
      </c>
      <c r="R30" s="101" t="s">
        <v>183</v>
      </c>
      <c r="S30" s="101" t="s">
        <v>121</v>
      </c>
      <c r="T30" s="101" t="s">
        <v>122</v>
      </c>
      <c r="U30" s="101" t="s">
        <v>74</v>
      </c>
      <c r="V30" s="96"/>
      <c r="W30" s="101" t="s">
        <v>185</v>
      </c>
      <c r="X30" s="101" t="s">
        <v>188</v>
      </c>
      <c r="AR30" s="101" t="s">
        <v>109</v>
      </c>
      <c r="AS30" s="101" t="s">
        <v>192</v>
      </c>
      <c r="AT30" s="101" t="s">
        <v>182</v>
      </c>
      <c r="AU30" s="101" t="s">
        <v>183</v>
      </c>
      <c r="AV30" s="101" t="s">
        <v>121</v>
      </c>
      <c r="AW30" s="101" t="s">
        <v>122</v>
      </c>
      <c r="AX30" s="101" t="s">
        <v>74</v>
      </c>
      <c r="AY30" s="96">
        <v>6.7200000000000003E-3</v>
      </c>
      <c r="AZ30" s="101" t="s">
        <v>185</v>
      </c>
      <c r="BA30" s="101" t="s">
        <v>188</v>
      </c>
    </row>
    <row r="31" spans="2:53" x14ac:dyDescent="0.25">
      <c r="B31" s="101" t="s">
        <v>109</v>
      </c>
      <c r="C31" s="101" t="s">
        <v>192</v>
      </c>
      <c r="D31" s="101" t="s">
        <v>182</v>
      </c>
      <c r="E31" s="101" t="s">
        <v>183</v>
      </c>
      <c r="F31" s="101" t="s">
        <v>121</v>
      </c>
      <c r="G31" s="101" t="s">
        <v>108</v>
      </c>
      <c r="H31" s="101" t="s">
        <v>110</v>
      </c>
      <c r="I31" s="96"/>
      <c r="J31" s="101" t="s">
        <v>185</v>
      </c>
      <c r="K31" s="101" t="s">
        <v>188</v>
      </c>
      <c r="N31" s="105"/>
      <c r="O31" s="101" t="s">
        <v>109</v>
      </c>
      <c r="P31" s="101" t="s">
        <v>192</v>
      </c>
      <c r="Q31" s="101" t="s">
        <v>182</v>
      </c>
      <c r="R31" s="101" t="s">
        <v>183</v>
      </c>
      <c r="S31" s="101" t="s">
        <v>121</v>
      </c>
      <c r="T31" s="101" t="s">
        <v>108</v>
      </c>
      <c r="U31" s="101" t="s">
        <v>110</v>
      </c>
      <c r="V31" s="96"/>
      <c r="W31" s="101" t="s">
        <v>185</v>
      </c>
      <c r="X31" s="101" t="s">
        <v>188</v>
      </c>
      <c r="AR31" s="101" t="s">
        <v>109</v>
      </c>
      <c r="AS31" s="101" t="s">
        <v>192</v>
      </c>
      <c r="AT31" s="101" t="s">
        <v>182</v>
      </c>
      <c r="AU31" s="101" t="s">
        <v>183</v>
      </c>
      <c r="AV31" s="101" t="s">
        <v>121</v>
      </c>
      <c r="AW31" s="101" t="s">
        <v>108</v>
      </c>
      <c r="AX31" s="101" t="s">
        <v>110</v>
      </c>
      <c r="AY31" s="96">
        <v>653.59400000000005</v>
      </c>
      <c r="AZ31" s="101" t="s">
        <v>185</v>
      </c>
      <c r="BA31" s="101" t="s">
        <v>188</v>
      </c>
    </row>
    <row r="32" spans="2:53" x14ac:dyDescent="0.25">
      <c r="B32" s="101" t="s">
        <v>109</v>
      </c>
      <c r="C32" s="101" t="s">
        <v>192</v>
      </c>
      <c r="D32" s="101" t="s">
        <v>182</v>
      </c>
      <c r="E32" s="101" t="s">
        <v>183</v>
      </c>
      <c r="F32" s="101" t="s">
        <v>121</v>
      </c>
      <c r="G32" s="101" t="s">
        <v>122</v>
      </c>
      <c r="H32" s="101" t="s">
        <v>110</v>
      </c>
      <c r="I32" s="96"/>
      <c r="J32" s="101" t="s">
        <v>185</v>
      </c>
      <c r="K32" s="101" t="s">
        <v>188</v>
      </c>
      <c r="O32" s="101" t="s">
        <v>109</v>
      </c>
      <c r="P32" s="101" t="s">
        <v>192</v>
      </c>
      <c r="Q32" s="101" t="s">
        <v>182</v>
      </c>
      <c r="R32" s="101" t="s">
        <v>183</v>
      </c>
      <c r="S32" s="101" t="s">
        <v>121</v>
      </c>
      <c r="T32" s="101" t="s">
        <v>122</v>
      </c>
      <c r="U32" s="101" t="s">
        <v>110</v>
      </c>
      <c r="V32" s="96"/>
      <c r="W32" s="101" t="s">
        <v>185</v>
      </c>
      <c r="X32" s="101" t="s">
        <v>188</v>
      </c>
      <c r="AR32" s="101" t="s">
        <v>109</v>
      </c>
      <c r="AS32" s="101" t="s">
        <v>192</v>
      </c>
      <c r="AT32" s="101" t="s">
        <v>182</v>
      </c>
      <c r="AU32" s="101" t="s">
        <v>183</v>
      </c>
      <c r="AV32" s="101" t="s">
        <v>121</v>
      </c>
      <c r="AW32" s="101" t="s">
        <v>122</v>
      </c>
      <c r="AX32" s="101" t="s">
        <v>110</v>
      </c>
      <c r="AY32" s="96">
        <v>31.623100000000001</v>
      </c>
      <c r="AZ32" s="101" t="s">
        <v>185</v>
      </c>
      <c r="BA32" s="101" t="s">
        <v>188</v>
      </c>
    </row>
    <row r="33" spans="2:54" x14ac:dyDescent="0.25">
      <c r="B33" s="101" t="s">
        <v>109</v>
      </c>
      <c r="C33" s="101" t="s">
        <v>192</v>
      </c>
      <c r="D33" s="101" t="s">
        <v>194</v>
      </c>
      <c r="E33" s="101" t="s">
        <v>183</v>
      </c>
      <c r="F33" s="101" t="s">
        <v>121</v>
      </c>
      <c r="G33" s="101" t="s">
        <v>123</v>
      </c>
      <c r="H33" s="101" t="s">
        <v>74</v>
      </c>
      <c r="I33" s="96"/>
      <c r="J33" s="101" t="s">
        <v>185</v>
      </c>
      <c r="K33" s="101" t="s">
        <v>188</v>
      </c>
      <c r="O33" s="101" t="s">
        <v>109</v>
      </c>
      <c r="P33" s="101" t="s">
        <v>192</v>
      </c>
      <c r="Q33" s="101" t="s">
        <v>194</v>
      </c>
      <c r="R33" s="101" t="s">
        <v>183</v>
      </c>
      <c r="S33" s="101" t="s">
        <v>121</v>
      </c>
      <c r="T33" s="101" t="s">
        <v>123</v>
      </c>
      <c r="U33" s="101" t="s">
        <v>74</v>
      </c>
      <c r="V33" s="96"/>
      <c r="W33" s="101" t="s">
        <v>185</v>
      </c>
      <c r="X33" s="101" t="s">
        <v>188</v>
      </c>
      <c r="AR33" s="101" t="s">
        <v>109</v>
      </c>
      <c r="AS33" s="101" t="s">
        <v>192</v>
      </c>
      <c r="AT33" s="101" t="s">
        <v>194</v>
      </c>
      <c r="AU33" s="101" t="s">
        <v>183</v>
      </c>
      <c r="AV33" s="101" t="s">
        <v>121</v>
      </c>
      <c r="AW33" s="101" t="s">
        <v>123</v>
      </c>
      <c r="AX33" s="101" t="s">
        <v>74</v>
      </c>
      <c r="AY33" s="96">
        <v>0.18844</v>
      </c>
      <c r="AZ33" s="101" t="s">
        <v>185</v>
      </c>
      <c r="BA33" s="101" t="s">
        <v>188</v>
      </c>
    </row>
    <row r="34" spans="2:54" x14ac:dyDescent="0.25">
      <c r="B34" t="s">
        <v>140</v>
      </c>
      <c r="C34" t="s">
        <v>195</v>
      </c>
      <c r="D34" t="s">
        <v>182</v>
      </c>
      <c r="E34" s="95" t="s">
        <v>183</v>
      </c>
      <c r="F34" t="s">
        <v>141</v>
      </c>
      <c r="G34" t="s">
        <v>74</v>
      </c>
      <c r="H34" t="s">
        <v>142</v>
      </c>
      <c r="I34" s="96"/>
      <c r="J34" s="101" t="s">
        <v>185</v>
      </c>
      <c r="K34" s="101" t="s">
        <v>188</v>
      </c>
      <c r="AR34" t="s">
        <v>137</v>
      </c>
      <c r="AS34" t="s">
        <v>196</v>
      </c>
      <c r="AT34" t="s">
        <v>182</v>
      </c>
      <c r="AU34" s="95" t="s">
        <v>183</v>
      </c>
      <c r="AV34" t="s">
        <v>138</v>
      </c>
      <c r="AW34" t="s">
        <v>74</v>
      </c>
      <c r="AX34" t="s">
        <v>139</v>
      </c>
      <c r="AY34" s="96">
        <f>+[1]Guatemala!AW6</f>
        <v>0</v>
      </c>
      <c r="AZ34" s="101" t="s">
        <v>185</v>
      </c>
      <c r="BA34" s="101" t="s">
        <v>188</v>
      </c>
    </row>
    <row r="35" spans="2:54" x14ac:dyDescent="0.25">
      <c r="B35" t="s">
        <v>140</v>
      </c>
      <c r="C35" t="s">
        <v>195</v>
      </c>
      <c r="D35" t="s">
        <v>182</v>
      </c>
      <c r="E35" s="95" t="s">
        <v>183</v>
      </c>
      <c r="F35" t="s">
        <v>141</v>
      </c>
      <c r="G35" t="s">
        <v>123</v>
      </c>
      <c r="H35" t="s">
        <v>142</v>
      </c>
      <c r="I35" s="96"/>
      <c r="J35" s="101" t="s">
        <v>185</v>
      </c>
      <c r="K35" s="101" t="s">
        <v>188</v>
      </c>
    </row>
    <row r="36" spans="2:54" x14ac:dyDescent="0.25">
      <c r="B36" t="s">
        <v>140</v>
      </c>
      <c r="C36" t="s">
        <v>195</v>
      </c>
      <c r="D36" t="s">
        <v>182</v>
      </c>
      <c r="E36" s="95" t="s">
        <v>183</v>
      </c>
      <c r="F36" t="s">
        <v>141</v>
      </c>
      <c r="G36" t="s">
        <v>108</v>
      </c>
      <c r="H36" t="s">
        <v>142</v>
      </c>
      <c r="I36" s="96"/>
      <c r="J36" s="101" t="s">
        <v>185</v>
      </c>
      <c r="K36" s="101" t="s">
        <v>188</v>
      </c>
      <c r="N36" s="105"/>
    </row>
    <row r="37" spans="2:54" x14ac:dyDescent="0.25">
      <c r="B37" t="s">
        <v>140</v>
      </c>
      <c r="C37" t="s">
        <v>195</v>
      </c>
      <c r="D37" t="s">
        <v>182</v>
      </c>
      <c r="E37" s="95" t="s">
        <v>183</v>
      </c>
      <c r="F37" t="s">
        <v>141</v>
      </c>
      <c r="G37" t="s">
        <v>31</v>
      </c>
      <c r="H37" t="s">
        <v>142</v>
      </c>
      <c r="I37" s="96"/>
      <c r="J37" s="101" t="s">
        <v>185</v>
      </c>
      <c r="K37" s="101" t="s">
        <v>188</v>
      </c>
    </row>
    <row r="38" spans="2:54" x14ac:dyDescent="0.25">
      <c r="B38" t="s">
        <v>140</v>
      </c>
      <c r="C38" t="s">
        <v>195</v>
      </c>
      <c r="D38" t="s">
        <v>182</v>
      </c>
      <c r="E38" s="95" t="s">
        <v>183</v>
      </c>
      <c r="F38" t="s">
        <v>141</v>
      </c>
      <c r="G38" t="s">
        <v>143</v>
      </c>
      <c r="H38" t="s">
        <v>142</v>
      </c>
      <c r="I38" s="96"/>
      <c r="J38" s="101" t="s">
        <v>185</v>
      </c>
      <c r="K38" s="101" t="s">
        <v>188</v>
      </c>
    </row>
    <row r="39" spans="2:54" x14ac:dyDescent="0.25">
      <c r="B39" t="s">
        <v>140</v>
      </c>
      <c r="C39" t="s">
        <v>195</v>
      </c>
      <c r="D39" t="s">
        <v>182</v>
      </c>
      <c r="E39" s="95" t="s">
        <v>183</v>
      </c>
      <c r="F39" t="s">
        <v>141</v>
      </c>
      <c r="G39" t="s">
        <v>122</v>
      </c>
      <c r="H39" t="s">
        <v>142</v>
      </c>
      <c r="I39" s="96"/>
      <c r="J39" s="101" t="s">
        <v>185</v>
      </c>
      <c r="K39" s="101" t="s">
        <v>188</v>
      </c>
    </row>
    <row r="40" spans="2:54" x14ac:dyDescent="0.25">
      <c r="B40" t="s">
        <v>140</v>
      </c>
      <c r="C40" t="s">
        <v>195</v>
      </c>
      <c r="D40" t="s">
        <v>182</v>
      </c>
      <c r="E40" s="95" t="s">
        <v>183</v>
      </c>
      <c r="F40" t="s">
        <v>141</v>
      </c>
      <c r="G40" t="s">
        <v>144</v>
      </c>
      <c r="H40" t="s">
        <v>142</v>
      </c>
      <c r="I40" s="96"/>
      <c r="J40" s="101" t="s">
        <v>185</v>
      </c>
      <c r="K40" s="101" t="s">
        <v>188</v>
      </c>
      <c r="P40" s="95"/>
      <c r="T40" s="96"/>
      <c r="U40" s="101"/>
      <c r="V40" s="101"/>
    </row>
    <row r="41" spans="2:54" x14ac:dyDescent="0.25">
      <c r="B41" t="s">
        <v>140</v>
      </c>
      <c r="C41" t="s">
        <v>195</v>
      </c>
      <c r="D41" t="s">
        <v>182</v>
      </c>
      <c r="E41" s="95" t="s">
        <v>183</v>
      </c>
      <c r="F41" t="s">
        <v>141</v>
      </c>
      <c r="G41" t="s">
        <v>145</v>
      </c>
      <c r="H41" t="s">
        <v>74</v>
      </c>
      <c r="I41" s="96"/>
      <c r="J41" s="101" t="s">
        <v>185</v>
      </c>
      <c r="K41" s="101" t="s">
        <v>188</v>
      </c>
      <c r="P41" s="95"/>
      <c r="T41" s="96"/>
      <c r="U41" s="101"/>
      <c r="V41" s="101"/>
    </row>
    <row r="42" spans="2:54" x14ac:dyDescent="0.25">
      <c r="B42" t="s">
        <v>140</v>
      </c>
      <c r="C42" t="s">
        <v>195</v>
      </c>
      <c r="D42" t="s">
        <v>182</v>
      </c>
      <c r="E42" s="95" t="s">
        <v>183</v>
      </c>
      <c r="F42" t="s">
        <v>141</v>
      </c>
      <c r="G42" t="s">
        <v>145</v>
      </c>
      <c r="H42" t="s">
        <v>142</v>
      </c>
      <c r="I42" s="96"/>
      <c r="J42" s="101" t="s">
        <v>185</v>
      </c>
      <c r="K42" s="101" t="s">
        <v>188</v>
      </c>
    </row>
    <row r="44" spans="2:54" x14ac:dyDescent="0.25">
      <c r="M44" t="s">
        <v>198</v>
      </c>
      <c r="N44" s="106"/>
      <c r="U44" s="101"/>
      <c r="V44" s="101"/>
      <c r="Z44" t="s">
        <v>197</v>
      </c>
      <c r="BB44" t="s">
        <v>199</v>
      </c>
    </row>
    <row r="45" spans="2:54" x14ac:dyDescent="0.25">
      <c r="U45" s="101"/>
    </row>
    <row r="46" spans="2:54" x14ac:dyDescent="0.25">
      <c r="V46" s="101"/>
    </row>
    <row r="47" spans="2:54" x14ac:dyDescent="0.25">
      <c r="N47" s="106"/>
    </row>
    <row r="48" spans="2:54" x14ac:dyDescent="0.25">
      <c r="N48" s="106"/>
    </row>
  </sheetData>
  <pageMargins left="0.7" right="0.7" top="0.75" bottom="0.75" header="0.3" footer="0.3"/>
  <pageSetup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BANCOS</vt:lpstr>
      <vt:lpstr>Exch Rates</vt:lpstr>
      <vt:lpstr>ExchRate</vt:lpstr>
      <vt:lpstr>Wiki</vt:lpstr>
      <vt:lpstr>Datos</vt:lpstr>
      <vt:lpstr>ACON</vt:lpstr>
      <vt:lpstr>SALOG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Sanchez, Esther / Kuehne + Nagel / Bue CA</dc:creator>
  <cp:keywords/>
  <dc:description/>
  <cp:lastModifiedBy>Usuario</cp:lastModifiedBy>
  <cp:revision/>
  <cp:lastPrinted>2023-01-18T19:48:47Z</cp:lastPrinted>
  <dcterms:created xsi:type="dcterms:W3CDTF">2022-10-14T19:29:42Z</dcterms:created>
  <dcterms:modified xsi:type="dcterms:W3CDTF">2023-02-06T18:36:48Z</dcterms:modified>
  <cp:category/>
  <cp:contentStatus/>
</cp:coreProperties>
</file>